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BomonSE\Syllabus\DexuatChinhsua\LAB211_CT\SU2026\00_Projects_LAB211_Summer26\03_J1.L.P0037.EmployeePayrollManagementSystem_450LOCs\"/>
    </mc:Choice>
  </mc:AlternateContent>
  <xr:revisionPtr revIDLastSave="0" documentId="13_ncr:1_{11A6994B-B4FB-4522-AA91-07424B51CCA9}" xr6:coauthVersionLast="47" xr6:coauthVersionMax="47" xr10:uidLastSave="{00000000-0000-0000-0000-000000000000}"/>
  <bookViews>
    <workbookView xWindow="-108" yWindow="-108" windowWidth="23256" windowHeight="13896" xr2:uid="{415E9775-2F52-40FB-9271-2C84D3A0B519}"/>
  </bookViews>
  <sheets>
    <sheet name="ClassSE20xx" sheetId="1" r:id="rId1"/>
    <sheet name="Rubr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1" i="1"/>
  <c r="O2" i="1"/>
  <c r="O1" i="1"/>
  <c r="J2" i="1"/>
  <c r="J1" i="1"/>
  <c r="Z2" i="1"/>
  <c r="Y2" i="1"/>
  <c r="X2" i="1"/>
  <c r="V2" i="1"/>
  <c r="T2" i="1"/>
  <c r="S2" i="1"/>
  <c r="R2" i="1"/>
  <c r="U2" i="1"/>
  <c r="Q2" i="1"/>
  <c r="P2" i="1"/>
  <c r="Z1" i="1"/>
  <c r="Y1" i="1"/>
  <c r="X1" i="1"/>
  <c r="V1" i="1"/>
  <c r="U1" i="1"/>
  <c r="T1" i="1"/>
  <c r="S1" i="1"/>
  <c r="R1" i="1"/>
  <c r="Q1" i="1"/>
  <c r="P1" i="1"/>
  <c r="N1" i="1"/>
  <c r="M1" i="1"/>
  <c r="L1" i="1"/>
  <c r="N2" i="1"/>
  <c r="M2" i="1"/>
  <c r="L2" i="1"/>
  <c r="K2" i="1"/>
  <c r="I2" i="1"/>
  <c r="H2" i="1"/>
  <c r="G2" i="1"/>
  <c r="F2" i="1"/>
  <c r="K1" i="1"/>
  <c r="D27" i="2"/>
  <c r="I1" i="1"/>
  <c r="H1" i="1"/>
  <c r="G1" i="1"/>
  <c r="F1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" i="1"/>
  <c r="G23" i="2" l="1"/>
  <c r="G15" i="2"/>
  <c r="G10" i="2"/>
  <c r="D2" i="1"/>
  <c r="W3" i="1" l="1"/>
  <c r="Z3" i="1"/>
  <c r="J3" i="1"/>
  <c r="O3" i="1"/>
  <c r="F3" i="1"/>
  <c r="Y3" i="1"/>
  <c r="X3" i="1"/>
  <c r="V3" i="1"/>
  <c r="U3" i="1"/>
  <c r="S3" i="1"/>
  <c r="R3" i="1"/>
  <c r="Q3" i="1"/>
  <c r="P3" i="1"/>
  <c r="N3" i="1"/>
  <c r="M3" i="1"/>
  <c r="K3" i="1"/>
  <c r="L3" i="1"/>
  <c r="I3" i="1"/>
  <c r="G3" i="1"/>
  <c r="H3" i="1"/>
  <c r="E25" i="1" l="1" a="1"/>
  <c r="E25" i="1" s="1"/>
  <c r="E37" i="1" a="1"/>
  <c r="E37" i="1" s="1"/>
  <c r="E34" i="1" a="1"/>
  <c r="E34" i="1" s="1"/>
  <c r="E32" i="1" a="1"/>
  <c r="E32" i="1" s="1"/>
  <c r="E30" i="1" a="1"/>
  <c r="E30" i="1" s="1"/>
  <c r="E38" i="1" a="1"/>
  <c r="E38" i="1" s="1"/>
  <c r="E28" i="1" a="1"/>
  <c r="E28" i="1" s="1"/>
  <c r="E27" i="1" a="1"/>
  <c r="E27" i="1" s="1"/>
  <c r="E29" i="1" a="1"/>
  <c r="E29" i="1" s="1"/>
  <c r="E36" i="1" a="1"/>
  <c r="E36" i="1" s="1"/>
  <c r="E14" i="1" a="1"/>
  <c r="E14" i="1" s="1"/>
  <c r="E13" i="1" a="1"/>
  <c r="E13" i="1" s="1"/>
  <c r="E12" i="1" a="1"/>
  <c r="E12" i="1" s="1"/>
  <c r="E11" i="1" a="1"/>
  <c r="E11" i="1" s="1"/>
  <c r="E24" i="1" a="1"/>
  <c r="E24" i="1" s="1"/>
  <c r="E7" i="1" a="1"/>
  <c r="E7" i="1" s="1"/>
  <c r="E22" i="1" a="1"/>
  <c r="E22" i="1" s="1"/>
  <c r="E21" i="1" a="1"/>
  <c r="E21" i="1" s="1"/>
  <c r="E20" i="1" a="1"/>
  <c r="E20" i="1" s="1"/>
  <c r="E35" i="1" a="1"/>
  <c r="E35" i="1" s="1"/>
  <c r="E17" i="1" a="1"/>
  <c r="E17" i="1" s="1"/>
  <c r="E31" i="1" a="1"/>
  <c r="E31" i="1" s="1"/>
  <c r="E9" i="1" a="1"/>
  <c r="E9" i="1" s="1"/>
  <c r="E23" i="1" a="1"/>
  <c r="E23" i="1" s="1"/>
  <c r="E5" i="1" a="1"/>
  <c r="E5" i="1" s="1"/>
  <c r="E19" i="1" a="1"/>
  <c r="E19" i="1" s="1"/>
  <c r="E18" i="1" a="1"/>
  <c r="E18" i="1" s="1"/>
  <c r="E16" i="1" a="1"/>
  <c r="E16" i="1" s="1"/>
  <c r="E4" i="1" a="1"/>
  <c r="E4" i="1" s="1"/>
  <c r="E10" i="1" a="1"/>
  <c r="E10" i="1" s="1"/>
  <c r="E8" i="1" a="1"/>
  <c r="E8" i="1" s="1"/>
  <c r="E6" i="1" a="1"/>
  <c r="E6" i="1" s="1"/>
  <c r="E26" i="1" a="1"/>
  <c r="E26" i="1" s="1"/>
  <c r="E33" i="1" a="1"/>
  <c r="E33" i="1" s="1"/>
  <c r="E15" i="1" a="1"/>
  <c r="E15" i="1" s="1"/>
  <c r="G17" i="2"/>
  <c r="G22" i="2"/>
  <c r="G19" i="2"/>
  <c r="G11" i="2"/>
  <c r="G24" i="2"/>
  <c r="G8" i="2"/>
  <c r="G9" i="2"/>
  <c r="G18" i="2"/>
  <c r="G21" i="2"/>
  <c r="G16" i="2"/>
  <c r="G20" i="2"/>
  <c r="G14" i="2"/>
  <c r="G26" i="2"/>
  <c r="G13" i="2"/>
  <c r="G7" i="2"/>
  <c r="G25" i="2"/>
  <c r="G6" i="2"/>
  <c r="G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<sst xmlns="http://schemas.openxmlformats.org/spreadsheetml/2006/main" count="90" uniqueCount="76">
  <si>
    <t>No.</t>
  </si>
  <si>
    <t>Enrollment</t>
  </si>
  <si>
    <t>Student Name</t>
  </si>
  <si>
    <t>Decomposition</t>
  </si>
  <si>
    <t>Pattern Recognition</t>
  </si>
  <si>
    <t>Abstraction</t>
  </si>
  <si>
    <t>Algorithm Design</t>
  </si>
  <si>
    <t>Encapsulation (private + getter/setter)</t>
  </si>
  <si>
    <t>Constructor, toString(), equals() override</t>
  </si>
  <si>
    <t>Kế thừa / interface / polymorphism</t>
  </si>
  <si>
    <t>Lưu dữ liệu vào file (txt/csv)</t>
  </si>
  <si>
    <t>Đặt tên biến, class theo chuẩn</t>
  </si>
  <si>
    <t>Code rõ ràng, có comment</t>
  </si>
  <si>
    <t>Nguyễn Văn A</t>
  </si>
  <si>
    <t>Lê Thành B</t>
  </si>
  <si>
    <t>Nguyễn Thị C</t>
  </si>
  <si>
    <t>Trần Văn D</t>
  </si>
  <si>
    <t>Lý Văn E</t>
  </si>
  <si>
    <t>Mai Văn G</t>
  </si>
  <si>
    <t>SE1678953</t>
  </si>
  <si>
    <t>SE1678954</t>
  </si>
  <si>
    <t>SE1678955</t>
  </si>
  <si>
    <t>SE1678956</t>
  </si>
  <si>
    <t>SE1678957</t>
  </si>
  <si>
    <t>Total</t>
  </si>
  <si>
    <t>LOCs</t>
  </si>
  <si>
    <t>SE1678958</t>
  </si>
  <si>
    <t>Stt</t>
  </si>
  <si>
    <t>Hạng mục</t>
  </si>
  <si>
    <t>Tiêu chí</t>
  </si>
  <si>
    <t>Điểm tối đa 
(Thang 100)</t>
  </si>
  <si>
    <t>Điểm đạt</t>
  </si>
  <si>
    <t>Nhận xét</t>
  </si>
  <si>
    <t>Computational Thinking (CT)</t>
  </si>
  <si>
    <t>Áp dụng OOP</t>
  </si>
  <si>
    <t>Chức năng cơ bản (CRUD + File I/O)</t>
  </si>
  <si>
    <t>Code style &amp; báo cáo</t>
  </si>
  <si>
    <r>
      <t>Báo cáo (</t>
    </r>
    <r>
      <rPr>
        <i/>
        <sz val="12"/>
        <color theme="1"/>
        <rFont val="Aptos Narrow"/>
        <family val="2"/>
        <scheme val="minor"/>
      </rPr>
      <t>trình bày</t>
    </r>
    <r>
      <rPr>
        <sz val="12"/>
        <color theme="1"/>
        <rFont val="Aptos Narrow"/>
        <family val="2"/>
        <scheme val="minor"/>
      </rPr>
      <t>) ngắn gọn, dễ hiểu</t>
    </r>
  </si>
  <si>
    <t>Cho điểm theo dòng màu xanh trang tính sẽ chuyển thành LOCs. KHÔNG SỬA GIÁ TRỊ DÒNG 2 VÀ 3</t>
  </si>
  <si>
    <t>Định nghĩa class rõ ràng (Employee,  …)</t>
  </si>
  <si>
    <t>Display dataLiệt kê Employee (table format)</t>
  </si>
  <si>
    <t>Thêm Employee (validation đúng)</t>
  </si>
  <si>
    <t>Tìm kiếm &amp; cập nhật Employee</t>
  </si>
  <si>
    <t>Lọc Employee  theo Attribute</t>
  </si>
  <si>
    <t>Tính tiền dựa theo Payroll</t>
  </si>
  <si>
    <t>Xóa Employee</t>
  </si>
  <si>
    <t>Rubric đánh giá Employee Payroll Management System Project - 450LOC</t>
  </si>
  <si>
    <t>AI REFLECTION - CT</t>
  </si>
  <si>
    <r>
      <t>AI REFLECTION &amp; Audit Log,</t>
    </r>
    <r>
      <rPr>
        <sz val="12"/>
        <color rgb="FFFF0000"/>
        <rFont val="Aptos Narrow"/>
        <family val="2"/>
        <scheme val="minor"/>
      </rPr>
      <t xml:space="preserve"> </t>
    </r>
    <r>
      <rPr>
        <b/>
        <sz val="12"/>
        <color rgb="FFFF0000"/>
        <rFont val="Aptos Narrow"/>
        <family val="2"/>
        <scheme val="minor"/>
      </rPr>
      <t>For CT</t>
    </r>
  </si>
  <si>
    <t>AI REFLECTION - OOP</t>
  </si>
  <si>
    <r>
      <t xml:space="preserve">AI REFLECTION &amp; Audit Log, </t>
    </r>
    <r>
      <rPr>
        <b/>
        <sz val="12"/>
        <color rgb="FFFF0000"/>
        <rFont val="Aptos Narrow"/>
        <family val="2"/>
        <scheme val="minor"/>
      </rPr>
      <t>For OOP</t>
    </r>
  </si>
  <si>
    <t>AI REFLECTION - FR</t>
  </si>
  <si>
    <r>
      <t xml:space="preserve">AI REFLECTION &amp; Audit Log, For </t>
    </r>
    <r>
      <rPr>
        <b/>
        <sz val="12"/>
        <color rgb="FFFF0000"/>
        <rFont val="Aptos Narrow"/>
        <family val="2"/>
        <scheme val="minor"/>
      </rPr>
      <t>Functional Requirements</t>
    </r>
  </si>
  <si>
    <t>AI REFLECTION — AI Audit Log (30%)</t>
  </si>
  <si>
    <t>Criteria</t>
  </si>
  <si>
    <t>Weight</t>
  </si>
  <si>
    <r>
      <t>Excellent (</t>
    </r>
    <r>
      <rPr>
        <b/>
        <sz val="11"/>
        <color rgb="FFFF0000"/>
        <rFont val="Aptos Narrow"/>
        <family val="2"/>
      </rPr>
      <t>9 - 10</t>
    </r>
    <r>
      <rPr>
        <b/>
        <sz val="11"/>
        <rFont val="Aptos Narrow"/>
        <family val="2"/>
      </rPr>
      <t>)</t>
    </r>
  </si>
  <si>
    <r>
      <t>Good (</t>
    </r>
    <r>
      <rPr>
        <b/>
        <sz val="11"/>
        <color rgb="FFFF0000"/>
        <rFont val="Aptos Narrow"/>
        <family val="2"/>
      </rPr>
      <t>7-8</t>
    </r>
    <r>
      <rPr>
        <b/>
        <sz val="11"/>
        <rFont val="Aptos Narrow"/>
        <family val="2"/>
      </rPr>
      <t>)</t>
    </r>
  </si>
  <si>
    <r>
      <t>Average (</t>
    </r>
    <r>
      <rPr>
        <b/>
        <sz val="11"/>
        <color rgb="FFFF0000"/>
        <rFont val="Aptos Narrow"/>
        <family val="2"/>
      </rPr>
      <t>5 - 6</t>
    </r>
    <r>
      <rPr>
        <b/>
        <sz val="11"/>
        <rFont val="Aptos Narrow"/>
        <family val="2"/>
      </rPr>
      <t>)</t>
    </r>
  </si>
  <si>
    <r>
      <t>Poor (</t>
    </r>
    <r>
      <rPr>
        <b/>
        <sz val="11"/>
        <color rgb="FFFF0000"/>
        <rFont val="Aptos Narrow"/>
        <family val="2"/>
      </rPr>
      <t>0 - 4</t>
    </r>
    <r>
      <rPr>
        <b/>
        <sz val="11"/>
        <rFont val="Aptos Narrow"/>
        <family val="2"/>
      </rPr>
      <t>)</t>
    </r>
  </si>
  <si>
    <t>AI Usage Documentation</t>
  </si>
  <si>
    <t>Ghi log đầy đủ các lần sử dụng AI; có prompt, kết quả AI, quyết định sử dụng/chỉnh sửa; thể hiện rõ mục tiêu học tập của sinh viên</t>
  </si>
  <si>
    <t>Có ghi nhận phần lớn quá trình dùng AI nhưng chưa đầy đủ nhưng lập luận chưa thuyết phục (hoặc không nhất quán)</t>
  </si>
  <si>
    <t>Có sử dụng AI nhưng ghi nhận log sơ sài, thiếu prompt hoặc thiếu giải thích (Sử dụng một cách mù quáng, lệ thuộc)</t>
  </si>
  <si>
    <t>Không có AI Log hoặc chỉ copy output AI mà không giải thích</t>
  </si>
  <si>
    <t>Critical Thinking &amp; Reflection on AI Output</t>
  </si>
  <si>
    <t>Sinh viên phân tích đúng/sai dựa trên kết quả hỗ trợ của AI; phát hiện lỗi; giải thích lý do chỉnh sửa; chứng minh mình hiểu rõ mã nguồn</t>
  </si>
  <si>
    <t>Có phản biện kết quả của AI, nhưng chiều sâu phân tích chưa cao</t>
  </si>
  <si>
    <t>Chỉ mô tả AI hỗ trợ gì, ít phân tích đúng/sai</t>
  </si>
  <si>
    <t>Chấp nhận output AI một cách thụ động; không chứng minh được hiểu biết</t>
  </si>
  <si>
    <t>Effective AI-assisted Learning Process</t>
  </si>
  <si>
    <t>Sử dụng AI đúng vai trò: phân tích yêu cầu, thiết kế class, debug, refactor, giải thích thuật toán; có iterative prompting</t>
  </si>
  <si>
    <t>Sử dụng AI hợp lý nhưng chưa đa dạng hoặc thiếu chiều sâu</t>
  </si>
  <si>
    <t>Dùng AI chủ yếu để generate code cho xong việc, đạt điểm bài làm</t>
  </si>
  <si>
    <t>Lạm dụng AI; không thể giải thích sản phẩm hoặc quá trình học tập của mình</t>
  </si>
  <si>
    <t>450 LOCs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</si>
</sst>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0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2"/>
      <color rgb="FFFFFFFF"/>
      <name val="Aptos Narrow"/>
      <family val="2"/>
    </font>
    <font>
      <b/>
      <sz val="11"/>
      <name val="Aptos Narrow"/>
      <family val="2"/>
    </font>
    <font>
      <b/>
      <sz val="11"/>
      <color rgb="FFFF0000"/>
      <name val="Aptos Narrow"/>
      <family val="2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0" fontId="3" fillId="0" borderId="0" xfId="1"/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0" borderId="11" xfId="1" applyFont="1" applyBorder="1"/>
    <xf numFmtId="0" fontId="6" fillId="0" borderId="1" xfId="1" applyFont="1" applyBorder="1" applyAlignment="1">
      <alignment vertical="center" wrapText="1"/>
    </xf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 applyAlignment="1">
      <alignment vertical="center" wrapText="1"/>
    </xf>
    <xf numFmtId="0" fontId="6" fillId="0" borderId="15" xfId="1" applyFont="1" applyBorder="1"/>
    <xf numFmtId="0" fontId="6" fillId="0" borderId="0" xfId="1" applyFont="1"/>
    <xf numFmtId="0" fontId="2" fillId="4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6" borderId="1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5" fillId="0" borderId="11" xfId="0" applyFont="1" applyBorder="1"/>
    <xf numFmtId="9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5" fillId="0" borderId="13" xfId="0" applyFont="1" applyBorder="1"/>
    <xf numFmtId="9" fontId="0" fillId="0" borderId="14" xfId="0" applyNumberFormat="1" applyBorder="1" applyAlignment="1">
      <alignment horizontal="center"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12" fillId="5" borderId="8" xfId="0" applyFont="1" applyFill="1" applyBorder="1" applyAlignment="1">
      <alignment horizontal="center" vertical="center"/>
    </xf>
    <xf numFmtId="0" fontId="3" fillId="0" borderId="9" xfId="1" applyBorder="1"/>
    <xf numFmtId="0" fontId="3" fillId="0" borderId="10" xfId="1" applyBorder="1"/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5228B8B-ABA5-4526-9EED-41D988D64A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DD12-A7FD-43E2-8115-B3B168D2267D}">
  <sheetPr codeName="Sheet1"/>
  <dimension ref="A1:AB38"/>
  <sheetViews>
    <sheetView tabSelected="1" zoomScale="108" zoomScaleNormal="108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J18" sqref="J18"/>
    </sheetView>
  </sheetViews>
  <sheetFormatPr defaultRowHeight="14.4" x14ac:dyDescent="0.3"/>
  <cols>
    <col min="1" max="1" width="5.21875" customWidth="1"/>
    <col min="2" max="2" width="12.6640625" customWidth="1"/>
    <col min="3" max="3" width="15.88671875" customWidth="1"/>
    <col min="4" max="4" width="7.6640625" customWidth="1"/>
    <col min="5" max="5" width="7" customWidth="1"/>
    <col min="6" max="6" width="12.5546875" customWidth="1"/>
    <col min="7" max="7" width="10.33203125" customWidth="1"/>
    <col min="8" max="8" width="9.77734375" customWidth="1"/>
    <col min="9" max="9" width="8.5546875" customWidth="1"/>
    <col min="10" max="10" width="12" customWidth="1"/>
    <col min="11" max="11" width="11.6640625" customWidth="1"/>
    <col min="12" max="12" width="12.21875" customWidth="1"/>
    <col min="13" max="13" width="10.6640625" customWidth="1"/>
    <col min="14" max="15" width="12.44140625" customWidth="1"/>
    <col min="16" max="16" width="13.21875" customWidth="1"/>
    <col min="19" max="19" width="10.44140625" customWidth="1"/>
    <col min="20" max="20" width="11.109375" customWidth="1"/>
    <col min="21" max="21" width="8.5546875" customWidth="1"/>
    <col min="23" max="23" width="11.33203125" customWidth="1"/>
    <col min="24" max="24" width="10.44140625" customWidth="1"/>
    <col min="25" max="25" width="10.77734375" customWidth="1"/>
    <col min="26" max="26" width="10.88671875" customWidth="1"/>
  </cols>
  <sheetData>
    <row r="1" spans="1:28" ht="96.6" x14ac:dyDescent="0.3">
      <c r="A1" s="2" t="s">
        <v>0</v>
      </c>
      <c r="B1" s="2" t="s">
        <v>1</v>
      </c>
      <c r="C1" s="2" t="s">
        <v>2</v>
      </c>
      <c r="D1" s="2" t="s">
        <v>24</v>
      </c>
      <c r="E1" s="2" t="s">
        <v>25</v>
      </c>
      <c r="F1" s="3" t="str">
        <f>Rubrics!C6</f>
        <v>Decomposition</v>
      </c>
      <c r="G1" s="3" t="str">
        <f>Rubrics!C7</f>
        <v>Pattern Recognition</v>
      </c>
      <c r="H1" s="3" t="str">
        <f>Rubrics!C8</f>
        <v>Abstraction</v>
      </c>
      <c r="I1" s="3" t="str">
        <f>Rubrics!C9</f>
        <v>Algorithm Design</v>
      </c>
      <c r="J1" s="20" t="str">
        <f>Rubrics!C10</f>
        <v>AI REFLECTION &amp; Audit Log, For CT</v>
      </c>
      <c r="K1" s="3" t="str">
        <f>Rubrics!C11</f>
        <v>Định nghĩa class rõ ràng (Employee,  …)</v>
      </c>
      <c r="L1" s="3" t="str">
        <f>Rubrics!C12</f>
        <v>Encapsulation (private + getter/setter)</v>
      </c>
      <c r="M1" s="3" t="str">
        <f>Rubrics!C13</f>
        <v>Constructor, toString(), equals() override</v>
      </c>
      <c r="N1" s="3" t="str">
        <f>Rubrics!C14</f>
        <v>Kế thừa / interface / polymorphism</v>
      </c>
      <c r="O1" s="20" t="str">
        <f>Rubrics!C15</f>
        <v>AI REFLECTION &amp; Audit Log, For OOP</v>
      </c>
      <c r="P1" s="3" t="str">
        <f>Rubrics!C16</f>
        <v>Display dataLiệt kê Employee (table format)</v>
      </c>
      <c r="Q1" s="3" t="str">
        <f>Rubrics!C17</f>
        <v>Thêm Employee (validation đúng)</v>
      </c>
      <c r="R1" s="3" t="str">
        <f>Rubrics!C18</f>
        <v>Tìm kiếm &amp; cập nhật Employee</v>
      </c>
      <c r="S1" s="3" t="str">
        <f>Rubrics!C19</f>
        <v>Lọc Employee  theo Attribute</v>
      </c>
      <c r="T1" s="3" t="str">
        <f>Rubrics!C20</f>
        <v>Tính tiền dựa theo Payroll</v>
      </c>
      <c r="U1" s="3" t="str">
        <f>Rubrics!C21</f>
        <v>Xóa Employee</v>
      </c>
      <c r="V1" s="3" t="str">
        <f>Rubrics!C22</f>
        <v>Lưu dữ liệu vào file (txt/csv)</v>
      </c>
      <c r="W1" s="20" t="str">
        <f>Rubrics!C23</f>
        <v>AI REFLECTION &amp; Audit Log, For Functional Requirements</v>
      </c>
      <c r="X1" s="3" t="str">
        <f>Rubrics!C24</f>
        <v>Đặt tên biến, class theo chuẩn</v>
      </c>
      <c r="Y1" s="3" t="str">
        <f>Rubrics!C25</f>
        <v>Code rõ ràng, có comment</v>
      </c>
      <c r="Z1" s="3" t="str">
        <f>Rubrics!C26</f>
        <v>Báo cáo (trình bày) ngắn gọn, dễ hiểu</v>
      </c>
      <c r="AA1" s="1"/>
      <c r="AB1" s="1"/>
    </row>
    <row r="2" spans="1:28" x14ac:dyDescent="0.3">
      <c r="A2" s="37" t="s">
        <v>38</v>
      </c>
      <c r="B2" s="38"/>
      <c r="C2" s="39"/>
      <c r="D2" s="2">
        <f>SUM(F2:Z2)</f>
        <v>100</v>
      </c>
      <c r="E2" s="2"/>
      <c r="F2" s="5">
        <f>Rubrics!D6</f>
        <v>5</v>
      </c>
      <c r="G2" s="5">
        <f>Rubrics!D7</f>
        <v>3</v>
      </c>
      <c r="H2" s="5">
        <f>Rubrics!D8</f>
        <v>6</v>
      </c>
      <c r="I2" s="5">
        <f>Rubrics!D9</f>
        <v>6</v>
      </c>
      <c r="J2" s="21">
        <f>Rubrics!D10</f>
        <v>10</v>
      </c>
      <c r="K2" s="5">
        <f>Rubrics!D11</f>
        <v>6</v>
      </c>
      <c r="L2" s="5">
        <f>Rubrics!D12</f>
        <v>4</v>
      </c>
      <c r="M2" s="5">
        <f>Rubrics!D13</f>
        <v>5</v>
      </c>
      <c r="N2" s="5">
        <f>Rubrics!D14</f>
        <v>10</v>
      </c>
      <c r="O2" s="21">
        <f>Rubrics!D15</f>
        <v>10</v>
      </c>
      <c r="P2" s="5">
        <f>Rubrics!D16</f>
        <v>2</v>
      </c>
      <c r="Q2" s="5">
        <f>Rubrics!D17</f>
        <v>2.5</v>
      </c>
      <c r="R2" s="5">
        <f>Rubrics!D18</f>
        <v>2.5</v>
      </c>
      <c r="S2" s="5">
        <f>Rubrics!D19</f>
        <v>2</v>
      </c>
      <c r="T2" s="5">
        <f>Rubrics!D20</f>
        <v>2</v>
      </c>
      <c r="U2" s="5">
        <f>Rubrics!D21</f>
        <v>2</v>
      </c>
      <c r="V2" s="5">
        <f>Rubrics!D22</f>
        <v>2</v>
      </c>
      <c r="W2" s="21">
        <f>Rubrics!D23</f>
        <v>10</v>
      </c>
      <c r="X2" s="5">
        <f>Rubrics!D24</f>
        <v>4</v>
      </c>
      <c r="Y2" s="5">
        <f>Rubrics!D25</f>
        <v>4</v>
      </c>
      <c r="Z2" s="5">
        <f>Rubrics!D26</f>
        <v>2</v>
      </c>
      <c r="AA2" s="1"/>
      <c r="AB2" s="1"/>
    </row>
    <row r="3" spans="1:28" x14ac:dyDescent="0.3">
      <c r="A3" s="40"/>
      <c r="B3" s="41"/>
      <c r="C3" s="42"/>
      <c r="D3" s="2"/>
      <c r="E3" s="2">
        <v>450</v>
      </c>
      <c r="F3" s="3">
        <f>(F2*$E$3)/$D$2</f>
        <v>22.5</v>
      </c>
      <c r="G3" s="3">
        <f t="shared" ref="G3:H3" si="0">(G2*$E$3)/$D$2</f>
        <v>13.5</v>
      </c>
      <c r="H3" s="3">
        <f t="shared" si="0"/>
        <v>27</v>
      </c>
      <c r="I3" s="3">
        <f>(I2*$E$3)/$D$2</f>
        <v>27</v>
      </c>
      <c r="J3" s="20">
        <f>(J2*$E$3)/$D$2</f>
        <v>45</v>
      </c>
      <c r="K3" s="3">
        <f t="shared" ref="K3" si="1">(K2*$E$3)/$D$2</f>
        <v>27</v>
      </c>
      <c r="L3" s="3">
        <f t="shared" ref="L3" si="2">(L2*$E$3)/$D$2</f>
        <v>18</v>
      </c>
      <c r="M3" s="3">
        <f t="shared" ref="M3:Z3" si="3">(M2*$E$3)/$D$2</f>
        <v>22.5</v>
      </c>
      <c r="N3" s="3">
        <f t="shared" si="3"/>
        <v>45</v>
      </c>
      <c r="O3" s="20">
        <f>(O2*$E$3)/$D$2</f>
        <v>45</v>
      </c>
      <c r="P3" s="3">
        <f t="shared" si="3"/>
        <v>9</v>
      </c>
      <c r="Q3" s="3">
        <f t="shared" si="3"/>
        <v>11.25</v>
      </c>
      <c r="R3" s="3">
        <f t="shared" si="3"/>
        <v>11.25</v>
      </c>
      <c r="S3" s="3">
        <f t="shared" si="3"/>
        <v>9</v>
      </c>
      <c r="T3" s="3">
        <v>2</v>
      </c>
      <c r="U3" s="3">
        <f t="shared" si="3"/>
        <v>9</v>
      </c>
      <c r="V3" s="3">
        <f t="shared" si="3"/>
        <v>9</v>
      </c>
      <c r="W3" s="20">
        <f>(W2*$E$3)/$D$2</f>
        <v>45</v>
      </c>
      <c r="X3" s="3">
        <f t="shared" si="3"/>
        <v>18</v>
      </c>
      <c r="Y3" s="3">
        <f t="shared" si="3"/>
        <v>18</v>
      </c>
      <c r="Z3" s="3">
        <f t="shared" si="3"/>
        <v>9</v>
      </c>
      <c r="AA3" s="1"/>
      <c r="AB3" s="1"/>
    </row>
    <row r="4" spans="1:28" x14ac:dyDescent="0.3">
      <c r="A4" s="4">
        <v>1</v>
      </c>
      <c r="B4" s="4" t="s">
        <v>19</v>
      </c>
      <c r="C4" s="4" t="s">
        <v>13</v>
      </c>
      <c r="D4" s="2">
        <f>SUM(F4:Z4)</f>
        <v>78.5</v>
      </c>
      <c r="E4" s="4" cm="1">
        <f t="array" ref="E4">SUMPRODUCT(F4:Z4 / $F$2:$Z$2, $F$3:$Z$3)</f>
        <v>346.25</v>
      </c>
      <c r="F4" s="19">
        <v>4</v>
      </c>
      <c r="G4" s="19">
        <v>3</v>
      </c>
      <c r="H4" s="19">
        <v>4</v>
      </c>
      <c r="I4" s="19">
        <v>4</v>
      </c>
      <c r="J4" s="19">
        <v>8</v>
      </c>
      <c r="K4" s="19">
        <v>5</v>
      </c>
      <c r="L4" s="19">
        <v>3</v>
      </c>
      <c r="M4" s="19">
        <v>4</v>
      </c>
      <c r="N4" s="19">
        <v>8</v>
      </c>
      <c r="O4" s="19">
        <v>8</v>
      </c>
      <c r="P4" s="19">
        <v>2</v>
      </c>
      <c r="Q4" s="19">
        <v>2.5</v>
      </c>
      <c r="R4" s="19">
        <v>2</v>
      </c>
      <c r="S4" s="19">
        <v>2</v>
      </c>
      <c r="T4" s="19">
        <v>2</v>
      </c>
      <c r="U4" s="19">
        <v>2</v>
      </c>
      <c r="V4" s="19">
        <v>2</v>
      </c>
      <c r="W4" s="19">
        <v>6</v>
      </c>
      <c r="X4" s="19">
        <v>3</v>
      </c>
      <c r="Y4" s="19">
        <v>2</v>
      </c>
      <c r="Z4" s="19">
        <v>2</v>
      </c>
    </row>
    <row r="5" spans="1:28" x14ac:dyDescent="0.3">
      <c r="A5" s="4">
        <v>2</v>
      </c>
      <c r="B5" s="4" t="s">
        <v>20</v>
      </c>
      <c r="C5" s="4" t="s">
        <v>14</v>
      </c>
      <c r="D5" s="2">
        <f t="shared" ref="D5:D38" si="4">SUM(F5:Z5)</f>
        <v>64.5</v>
      </c>
      <c r="E5" s="4" cm="1">
        <f t="array" ref="E5">SUMPRODUCT(F5:Z5 / $F$2:$Z$2, $F$3:$Z$3)</f>
        <v>290.25</v>
      </c>
      <c r="F5" s="19">
        <v>3</v>
      </c>
      <c r="G5" s="19">
        <v>2</v>
      </c>
      <c r="H5" s="19">
        <v>4</v>
      </c>
      <c r="I5" s="19">
        <v>4</v>
      </c>
      <c r="J5" s="19">
        <v>6</v>
      </c>
      <c r="K5" s="19">
        <v>5</v>
      </c>
      <c r="L5" s="19">
        <v>3</v>
      </c>
      <c r="M5" s="19">
        <v>4</v>
      </c>
      <c r="N5" s="19">
        <v>8</v>
      </c>
      <c r="O5" s="19">
        <v>7</v>
      </c>
      <c r="P5" s="19">
        <v>2</v>
      </c>
      <c r="Q5" s="19">
        <v>2.5</v>
      </c>
      <c r="R5" s="19">
        <v>2.5</v>
      </c>
      <c r="S5" s="19">
        <v>1.5</v>
      </c>
      <c r="T5" s="19">
        <v>0</v>
      </c>
      <c r="U5" s="19">
        <v>0</v>
      </c>
      <c r="V5" s="19">
        <v>0</v>
      </c>
      <c r="W5" s="19">
        <v>8</v>
      </c>
      <c r="X5" s="19">
        <v>1</v>
      </c>
      <c r="Y5" s="19">
        <v>1</v>
      </c>
      <c r="Z5" s="19">
        <v>0</v>
      </c>
    </row>
    <row r="6" spans="1:28" x14ac:dyDescent="0.3">
      <c r="A6" s="4">
        <v>3</v>
      </c>
      <c r="B6" s="4" t="s">
        <v>21</v>
      </c>
      <c r="C6" s="4" t="s">
        <v>15</v>
      </c>
      <c r="D6" s="2">
        <f t="shared" si="4"/>
        <v>12</v>
      </c>
      <c r="E6" s="4" cm="1">
        <f t="array" ref="E6">SUMPRODUCT(F6:Z6 / $F$2:$Z$2, $F$3:$Z$3)</f>
        <v>54</v>
      </c>
      <c r="F6" s="19">
        <v>0</v>
      </c>
      <c r="G6" s="19">
        <v>0</v>
      </c>
      <c r="H6" s="19">
        <v>0</v>
      </c>
      <c r="I6" s="19">
        <v>0</v>
      </c>
      <c r="J6" s="19">
        <v>6</v>
      </c>
      <c r="K6" s="19">
        <v>0</v>
      </c>
      <c r="L6" s="19">
        <v>0</v>
      </c>
      <c r="M6" s="19">
        <v>0</v>
      </c>
      <c r="N6" s="19">
        <v>0</v>
      </c>
      <c r="O6" s="19">
        <v>6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</row>
    <row r="7" spans="1:28" x14ac:dyDescent="0.3">
      <c r="A7" s="4">
        <v>4</v>
      </c>
      <c r="B7" s="4" t="s">
        <v>22</v>
      </c>
      <c r="C7" s="4" t="s">
        <v>16</v>
      </c>
      <c r="D7" s="2">
        <f t="shared" si="4"/>
        <v>100</v>
      </c>
      <c r="E7" s="4" cm="1">
        <f t="array" ref="E7">SUMPRODUCT(F7:Z7 / $F$2:$Z$2, $F$3:$Z$3)</f>
        <v>443</v>
      </c>
      <c r="F7" s="19">
        <v>5</v>
      </c>
      <c r="G7" s="19">
        <v>3</v>
      </c>
      <c r="H7" s="19">
        <v>6</v>
      </c>
      <c r="I7" s="19">
        <v>6</v>
      </c>
      <c r="J7" s="19">
        <v>10</v>
      </c>
      <c r="K7" s="19">
        <v>6</v>
      </c>
      <c r="L7" s="19">
        <v>4</v>
      </c>
      <c r="M7" s="19">
        <v>5</v>
      </c>
      <c r="N7" s="19">
        <v>10</v>
      </c>
      <c r="O7" s="19">
        <v>10</v>
      </c>
      <c r="P7" s="19">
        <v>2</v>
      </c>
      <c r="Q7" s="19">
        <v>2.5</v>
      </c>
      <c r="R7" s="19">
        <v>2.5</v>
      </c>
      <c r="S7" s="19">
        <v>2</v>
      </c>
      <c r="T7" s="19">
        <v>2</v>
      </c>
      <c r="U7" s="19">
        <v>2</v>
      </c>
      <c r="V7" s="19">
        <v>2</v>
      </c>
      <c r="W7" s="19">
        <v>10</v>
      </c>
      <c r="X7" s="19">
        <v>4</v>
      </c>
      <c r="Y7" s="19">
        <v>4</v>
      </c>
      <c r="Z7" s="19">
        <v>2</v>
      </c>
    </row>
    <row r="8" spans="1:28" x14ac:dyDescent="0.3">
      <c r="A8" s="4">
        <v>5</v>
      </c>
      <c r="B8" s="4" t="s">
        <v>23</v>
      </c>
      <c r="C8" s="4" t="s">
        <v>17</v>
      </c>
      <c r="D8" s="2">
        <f t="shared" si="4"/>
        <v>46</v>
      </c>
      <c r="E8" s="4" cm="1">
        <f t="array" ref="E8">SUMPRODUCT(F8:Z8 / $F$2:$Z$2, $F$3:$Z$3)</f>
        <v>200</v>
      </c>
      <c r="F8" s="19">
        <v>2</v>
      </c>
      <c r="G8" s="19">
        <v>2</v>
      </c>
      <c r="H8" s="19">
        <v>2</v>
      </c>
      <c r="I8" s="19">
        <v>2</v>
      </c>
      <c r="J8" s="19">
        <v>3</v>
      </c>
      <c r="K8" s="19">
        <v>2</v>
      </c>
      <c r="L8" s="19">
        <v>2</v>
      </c>
      <c r="M8" s="19">
        <v>2</v>
      </c>
      <c r="N8" s="19">
        <v>2</v>
      </c>
      <c r="O8" s="19">
        <v>3</v>
      </c>
      <c r="P8" s="19">
        <v>2</v>
      </c>
      <c r="Q8" s="19">
        <v>2</v>
      </c>
      <c r="R8" s="19">
        <v>2</v>
      </c>
      <c r="S8" s="19">
        <v>2</v>
      </c>
      <c r="T8" s="19">
        <v>2</v>
      </c>
      <c r="U8" s="19">
        <v>2</v>
      </c>
      <c r="V8" s="19">
        <v>2</v>
      </c>
      <c r="W8" s="19">
        <v>4</v>
      </c>
      <c r="X8" s="19">
        <v>2</v>
      </c>
      <c r="Y8" s="19">
        <v>2</v>
      </c>
      <c r="Z8" s="19">
        <v>2</v>
      </c>
    </row>
    <row r="9" spans="1:28" x14ac:dyDescent="0.3">
      <c r="A9" s="4">
        <v>6</v>
      </c>
      <c r="B9" s="4" t="s">
        <v>26</v>
      </c>
      <c r="C9" s="4" t="s">
        <v>18</v>
      </c>
      <c r="D9" s="2">
        <f t="shared" si="4"/>
        <v>66</v>
      </c>
      <c r="E9" s="4" cm="1">
        <f t="array" ref="E9">SUMPRODUCT(F9:Z9 / $F$2:$Z$2, $F$3:$Z$3)</f>
        <v>293.5</v>
      </c>
      <c r="F9" s="22">
        <v>3</v>
      </c>
      <c r="G9" s="22">
        <v>3</v>
      </c>
      <c r="H9" s="22">
        <v>4</v>
      </c>
      <c r="I9" s="22">
        <v>3</v>
      </c>
      <c r="J9" s="22">
        <v>5</v>
      </c>
      <c r="K9" s="22">
        <v>4</v>
      </c>
      <c r="L9" s="22">
        <v>4</v>
      </c>
      <c r="M9" s="22">
        <v>4</v>
      </c>
      <c r="N9" s="22">
        <v>6</v>
      </c>
      <c r="O9" s="22">
        <v>6</v>
      </c>
      <c r="P9" s="22">
        <v>2</v>
      </c>
      <c r="Q9" s="22">
        <v>2</v>
      </c>
      <c r="R9" s="22">
        <v>1.5</v>
      </c>
      <c r="S9" s="22">
        <v>2</v>
      </c>
      <c r="T9" s="22">
        <v>1</v>
      </c>
      <c r="U9" s="22">
        <v>1</v>
      </c>
      <c r="V9" s="22">
        <v>1.5</v>
      </c>
      <c r="W9" s="22">
        <v>6</v>
      </c>
      <c r="X9" s="22">
        <v>3</v>
      </c>
      <c r="Y9" s="22">
        <v>2</v>
      </c>
      <c r="Z9" s="22">
        <v>2</v>
      </c>
    </row>
    <row r="10" spans="1:28" x14ac:dyDescent="0.3">
      <c r="A10" s="4">
        <v>7</v>
      </c>
      <c r="B10" s="4"/>
      <c r="C10" s="4"/>
      <c r="D10" s="2">
        <f t="shared" si="4"/>
        <v>0</v>
      </c>
      <c r="E10" s="4" cm="1">
        <f t="array" ref="E10">SUMPRODUCT(F10:Z10 / $F$2:$Z$2, $F$3:$Z$3)</f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8" x14ac:dyDescent="0.3">
      <c r="A11" s="4">
        <v>8</v>
      </c>
      <c r="B11" s="4"/>
      <c r="C11" s="4"/>
      <c r="D11" s="2">
        <f t="shared" si="4"/>
        <v>0</v>
      </c>
      <c r="E11" s="4" cm="1">
        <f t="array" ref="E11">SUMPRODUCT(F11:Z11 / $F$2:$Z$2, $F$3:$Z$3)</f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8" x14ac:dyDescent="0.3">
      <c r="A12" s="4">
        <v>9</v>
      </c>
      <c r="B12" s="4"/>
      <c r="C12" s="4"/>
      <c r="D12" s="2">
        <f t="shared" si="4"/>
        <v>0</v>
      </c>
      <c r="E12" s="4" cm="1">
        <f t="array" ref="E12">SUMPRODUCT(F12:Z12 / $F$2:$Z$2, $F$3:$Z$3)</f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8" x14ac:dyDescent="0.3">
      <c r="A13" s="4">
        <v>10</v>
      </c>
      <c r="B13" s="4"/>
      <c r="C13" s="4"/>
      <c r="D13" s="2">
        <f t="shared" si="4"/>
        <v>0</v>
      </c>
      <c r="E13" s="4" cm="1">
        <f t="array" ref="E13">SUMPRODUCT(F13:Z13 / $F$2:$Z$2, $F$3:$Z$3)</f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8" x14ac:dyDescent="0.3">
      <c r="A14" s="4">
        <v>11</v>
      </c>
      <c r="B14" s="4"/>
      <c r="C14" s="4"/>
      <c r="D14" s="2">
        <f t="shared" si="4"/>
        <v>0</v>
      </c>
      <c r="E14" s="4" cm="1">
        <f t="array" ref="E14">SUMPRODUCT(F14:Z14 / $F$2:$Z$2, $F$3:$Z$3)</f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8" x14ac:dyDescent="0.3">
      <c r="A15" s="4">
        <v>12</v>
      </c>
      <c r="B15" s="4"/>
      <c r="C15" s="4"/>
      <c r="D15" s="2">
        <f t="shared" si="4"/>
        <v>0</v>
      </c>
      <c r="E15" s="4" cm="1">
        <f t="array" ref="E15">SUMPRODUCT(F15:Z15 / $F$2:$Z$2, $F$3:$Z$3)</f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8" x14ac:dyDescent="0.3">
      <c r="A16" s="4">
        <v>13</v>
      </c>
      <c r="B16" s="4"/>
      <c r="C16" s="4"/>
      <c r="D16" s="2">
        <f t="shared" si="4"/>
        <v>0</v>
      </c>
      <c r="E16" s="4" cm="1">
        <f t="array" ref="E16">SUMPRODUCT(F16:Z16 / $F$2:$Z$2, $F$3:$Z$3)</f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>
        <v>14</v>
      </c>
      <c r="B17" s="4"/>
      <c r="C17" s="4"/>
      <c r="D17" s="2">
        <f t="shared" si="4"/>
        <v>0</v>
      </c>
      <c r="E17" s="4" cm="1">
        <f t="array" ref="E17">SUMPRODUCT(F17:Z17 / $F$2:$Z$2, $F$3:$Z$3)</f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>
        <v>15</v>
      </c>
      <c r="B18" s="4"/>
      <c r="C18" s="4"/>
      <c r="D18" s="2">
        <f t="shared" si="4"/>
        <v>0</v>
      </c>
      <c r="E18" s="4" cm="1">
        <f t="array" ref="E18">SUMPRODUCT(F18:Z18 / $F$2:$Z$2, $F$3:$Z$3)</f>
        <v>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>
        <v>16</v>
      </c>
      <c r="B19" s="4"/>
      <c r="C19" s="4"/>
      <c r="D19" s="2">
        <f t="shared" si="4"/>
        <v>0</v>
      </c>
      <c r="E19" s="4" cm="1">
        <f t="array" ref="E19">SUMPRODUCT(F19:Z19 / $F$2:$Z$2, $F$3:$Z$3)</f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>
        <v>17</v>
      </c>
      <c r="B20" s="4"/>
      <c r="C20" s="4"/>
      <c r="D20" s="2">
        <f t="shared" si="4"/>
        <v>0</v>
      </c>
      <c r="E20" s="4" cm="1">
        <f t="array" ref="E20">SUMPRODUCT(F20:Z20 / $F$2:$Z$2, $F$3:$Z$3)</f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4">
        <v>18</v>
      </c>
      <c r="B21" s="4"/>
      <c r="C21" s="4"/>
      <c r="D21" s="2">
        <f t="shared" si="4"/>
        <v>0</v>
      </c>
      <c r="E21" s="4" cm="1">
        <f t="array" ref="E21">SUMPRODUCT(F21:Z21 / $F$2:$Z$2, $F$3:$Z$3)</f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3">
      <c r="A22" s="4">
        <v>19</v>
      </c>
      <c r="B22" s="4"/>
      <c r="C22" s="4"/>
      <c r="D22" s="2">
        <f t="shared" si="4"/>
        <v>0</v>
      </c>
      <c r="E22" s="4" cm="1">
        <f t="array" ref="E22">SUMPRODUCT(F22:Z22 / $F$2:$Z$2, $F$3:$Z$3)</f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3">
      <c r="A23" s="4">
        <v>20</v>
      </c>
      <c r="B23" s="4"/>
      <c r="C23" s="4"/>
      <c r="D23" s="2">
        <f t="shared" si="4"/>
        <v>0</v>
      </c>
      <c r="E23" s="4" cm="1">
        <f t="array" ref="E23">SUMPRODUCT(F23:Z23 / $F$2:$Z$2, $F$3:$Z$3)</f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3">
      <c r="A24" s="4">
        <v>21</v>
      </c>
      <c r="B24" s="4"/>
      <c r="C24" s="4"/>
      <c r="D24" s="2">
        <f t="shared" si="4"/>
        <v>0</v>
      </c>
      <c r="E24" s="4" cm="1">
        <f t="array" ref="E24">SUMPRODUCT(F24:Z24 / $F$2:$Z$2, $F$3:$Z$3)</f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3">
      <c r="A25" s="4">
        <v>22</v>
      </c>
      <c r="B25" s="4"/>
      <c r="C25" s="4"/>
      <c r="D25" s="2">
        <f t="shared" si="4"/>
        <v>0</v>
      </c>
      <c r="E25" s="4" cm="1">
        <f t="array" ref="E25">SUMPRODUCT(F25:Z25 / $F$2:$Z$2, $F$3:$Z$3)</f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3">
      <c r="A26" s="4">
        <v>23</v>
      </c>
      <c r="B26" s="4"/>
      <c r="C26" s="4"/>
      <c r="D26" s="2">
        <f t="shared" si="4"/>
        <v>0</v>
      </c>
      <c r="E26" s="4" cm="1">
        <f t="array" ref="E26">SUMPRODUCT(F26:Z26 / $F$2:$Z$2, $F$3:$Z$3)</f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3">
      <c r="A27" s="4">
        <v>24</v>
      </c>
      <c r="B27" s="4"/>
      <c r="C27" s="4"/>
      <c r="D27" s="2">
        <f t="shared" si="4"/>
        <v>0</v>
      </c>
      <c r="E27" s="4" cm="1">
        <f t="array" ref="E27">SUMPRODUCT(F27:Z27 / $F$2:$Z$2, $F$3:$Z$3)</f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3">
      <c r="A28" s="4">
        <v>25</v>
      </c>
      <c r="B28" s="4"/>
      <c r="C28" s="4"/>
      <c r="D28" s="2">
        <f t="shared" si="4"/>
        <v>0</v>
      </c>
      <c r="E28" s="4" cm="1">
        <f t="array" ref="E28">SUMPRODUCT(F28:Z28 / $F$2:$Z$2, $F$3:$Z$3)</f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3">
      <c r="A29" s="4">
        <v>26</v>
      </c>
      <c r="B29" s="4"/>
      <c r="C29" s="4"/>
      <c r="D29" s="2">
        <f t="shared" si="4"/>
        <v>0</v>
      </c>
      <c r="E29" s="4" cm="1">
        <f t="array" ref="E29">SUMPRODUCT(F29:Z29 / $F$2:$Z$2, $F$3:$Z$3)</f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3">
      <c r="A30" s="4">
        <v>27</v>
      </c>
      <c r="B30" s="4"/>
      <c r="C30" s="4"/>
      <c r="D30" s="2">
        <f t="shared" si="4"/>
        <v>0</v>
      </c>
      <c r="E30" s="4" cm="1">
        <f t="array" ref="E30">SUMPRODUCT(F30:Z30 / $F$2:$Z$2, $F$3:$Z$3)</f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3">
      <c r="A31" s="4">
        <v>28</v>
      </c>
      <c r="B31" s="4"/>
      <c r="C31" s="4"/>
      <c r="D31" s="2">
        <f t="shared" si="4"/>
        <v>0</v>
      </c>
      <c r="E31" s="4" cm="1">
        <f t="array" ref="E31">SUMPRODUCT(F31:Z31 / $F$2:$Z$2, $F$3:$Z$3)</f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3">
      <c r="A32" s="4">
        <v>29</v>
      </c>
      <c r="B32" s="4"/>
      <c r="C32" s="4"/>
      <c r="D32" s="2">
        <f t="shared" si="4"/>
        <v>0</v>
      </c>
      <c r="E32" s="4" cm="1">
        <f t="array" ref="E32">SUMPRODUCT(F32:Z32 / $F$2:$Z$2, $F$3:$Z$3)</f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3">
      <c r="A33" s="4">
        <v>30</v>
      </c>
      <c r="B33" s="4"/>
      <c r="C33" s="4"/>
      <c r="D33" s="2">
        <f t="shared" si="4"/>
        <v>0</v>
      </c>
      <c r="E33" s="4" cm="1">
        <f t="array" ref="E33">SUMPRODUCT(F33:Z33 / $F$2:$Z$2, $F$3:$Z$3)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3">
      <c r="A34" s="4">
        <v>31</v>
      </c>
      <c r="B34" s="4"/>
      <c r="C34" s="4"/>
      <c r="D34" s="2">
        <f t="shared" si="4"/>
        <v>0</v>
      </c>
      <c r="E34" s="4" cm="1">
        <f t="array" ref="E34">SUMPRODUCT(F34:Z34 / $F$2:$Z$2, $F$3:$Z$3)</f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3">
      <c r="A35" s="4">
        <v>32</v>
      </c>
      <c r="B35" s="4"/>
      <c r="C35" s="4"/>
      <c r="D35" s="2">
        <f t="shared" si="4"/>
        <v>0</v>
      </c>
      <c r="E35" s="4" cm="1">
        <f t="array" ref="E35">SUMPRODUCT(F35:Z35 / $F$2:$Z$2, $F$3:$Z$3)</f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3">
      <c r="A36" s="4">
        <v>33</v>
      </c>
      <c r="B36" s="4"/>
      <c r="C36" s="4"/>
      <c r="D36" s="2">
        <f t="shared" si="4"/>
        <v>0</v>
      </c>
      <c r="E36" s="4" cm="1">
        <f t="array" ref="E36">SUMPRODUCT(F36:Z36 / $F$2:$Z$2, $F$3:$Z$3)</f>
        <v>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3">
      <c r="A37" s="4">
        <v>34</v>
      </c>
      <c r="B37" s="4"/>
      <c r="C37" s="4"/>
      <c r="D37" s="2">
        <f t="shared" si="4"/>
        <v>0</v>
      </c>
      <c r="E37" s="4" cm="1">
        <f t="array" ref="E37">SUMPRODUCT(F37:Z37 / $F$2:$Z$2, $F$3:$Z$3)</f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3">
      <c r="A38" s="4">
        <v>35</v>
      </c>
      <c r="B38" s="4"/>
      <c r="C38" s="4"/>
      <c r="D38" s="2">
        <f t="shared" si="4"/>
        <v>0</v>
      </c>
      <c r="E38" s="4" cm="1">
        <f t="array" ref="E38">SUMPRODUCT(F38:Z38 / $F$2:$Z$2, $F$3:$Z$3)</f>
        <v>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</sheetData>
  <mergeCells count="1">
    <mergeCell ref="A2:C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7C7A-65EA-4AAF-851D-B437C0B3309B}">
  <sheetPr codeName="Sheet2"/>
  <dimension ref="A3:O27"/>
  <sheetViews>
    <sheetView topLeftCell="A13" workbookViewId="0">
      <selection activeCell="G6" sqref="G6"/>
    </sheetView>
  </sheetViews>
  <sheetFormatPr defaultColWidth="8.88671875" defaultRowHeight="14.4" x14ac:dyDescent="0.3"/>
  <cols>
    <col min="1" max="1" width="8.88671875" style="8"/>
    <col min="2" max="2" width="34.21875" style="8" customWidth="1"/>
    <col min="3" max="3" width="52.88671875" style="8" customWidth="1"/>
    <col min="4" max="4" width="13.5546875" style="8" customWidth="1"/>
    <col min="5" max="5" width="15.109375" style="8" customWidth="1"/>
    <col min="6" max="6" width="36" style="8" customWidth="1"/>
    <col min="7" max="9" width="8.88671875" style="8"/>
    <col min="10" max="10" width="43.21875" style="8" bestFit="1" customWidth="1"/>
    <col min="11" max="11" width="6.6640625" style="8" bestFit="1" customWidth="1"/>
    <col min="12" max="12" width="108.44140625" style="8" bestFit="1" customWidth="1"/>
    <col min="13" max="13" width="93.6640625" style="8" bestFit="1" customWidth="1"/>
    <col min="14" max="14" width="92.77734375" style="8" bestFit="1" customWidth="1"/>
    <col min="15" max="15" width="62.109375" style="8" bestFit="1" customWidth="1"/>
    <col min="16" max="16384" width="8.88671875" style="8"/>
  </cols>
  <sheetData>
    <row r="3" spans="1:15" ht="31.2" x14ac:dyDescent="0.6">
      <c r="A3" s="6" t="s">
        <v>46</v>
      </c>
      <c r="B3" s="7"/>
      <c r="C3" s="7"/>
      <c r="D3" s="7"/>
      <c r="E3" s="7"/>
      <c r="F3" s="7"/>
      <c r="G3" s="7"/>
    </row>
    <row r="4" spans="1:15" ht="15" thickBot="1" x14ac:dyDescent="0.35"/>
    <row r="5" spans="1:15" ht="31.8" thickTop="1" x14ac:dyDescent="0.3">
      <c r="A5" s="9" t="s">
        <v>27</v>
      </c>
      <c r="B5" s="10" t="s">
        <v>28</v>
      </c>
      <c r="C5" s="10" t="s">
        <v>29</v>
      </c>
      <c r="D5" s="10" t="s">
        <v>30</v>
      </c>
      <c r="E5" s="10" t="s">
        <v>31</v>
      </c>
      <c r="F5" s="10" t="s">
        <v>32</v>
      </c>
      <c r="G5" s="11" t="s">
        <v>75</v>
      </c>
      <c r="J5" s="34" t="s">
        <v>53</v>
      </c>
      <c r="K5" s="35"/>
      <c r="L5" s="35"/>
      <c r="M5" s="35"/>
      <c r="N5" s="35"/>
      <c r="O5" s="36"/>
    </row>
    <row r="6" spans="1:15" ht="19.95" customHeight="1" x14ac:dyDescent="0.3">
      <c r="A6" s="12">
        <v>1</v>
      </c>
      <c r="B6" s="13" t="s">
        <v>33</v>
      </c>
      <c r="C6" s="13" t="s">
        <v>3</v>
      </c>
      <c r="D6" s="13">
        <v>5</v>
      </c>
      <c r="E6" s="13"/>
      <c r="F6" s="13"/>
      <c r="G6" s="14">
        <f t="shared" ref="G6:G26" si="0">D6*$G$27/$D$27</f>
        <v>22.5</v>
      </c>
      <c r="J6" s="23" t="s">
        <v>54</v>
      </c>
      <c r="K6" s="24" t="s">
        <v>55</v>
      </c>
      <c r="L6" s="24" t="s">
        <v>56</v>
      </c>
      <c r="M6" s="24" t="s">
        <v>57</v>
      </c>
      <c r="N6" s="24" t="s">
        <v>58</v>
      </c>
      <c r="O6" s="25" t="s">
        <v>59</v>
      </c>
    </row>
    <row r="7" spans="1:15" ht="19.95" customHeight="1" x14ac:dyDescent="0.3">
      <c r="A7" s="12">
        <v>2</v>
      </c>
      <c r="B7" s="13" t="s">
        <v>33</v>
      </c>
      <c r="C7" s="13" t="s">
        <v>4</v>
      </c>
      <c r="D7" s="13">
        <v>3</v>
      </c>
      <c r="E7" s="13"/>
      <c r="F7" s="13"/>
      <c r="G7" s="14">
        <f t="shared" si="0"/>
        <v>13.5</v>
      </c>
      <c r="J7" s="26" t="s">
        <v>60</v>
      </c>
      <c r="K7" s="27">
        <v>0.1</v>
      </c>
      <c r="L7" s="28" t="s">
        <v>61</v>
      </c>
      <c r="M7" s="28" t="s">
        <v>62</v>
      </c>
      <c r="N7" s="28" t="s">
        <v>63</v>
      </c>
      <c r="O7" s="29" t="s">
        <v>64</v>
      </c>
    </row>
    <row r="8" spans="1:15" ht="19.95" customHeight="1" x14ac:dyDescent="0.3">
      <c r="A8" s="12">
        <v>3</v>
      </c>
      <c r="B8" s="13" t="s">
        <v>33</v>
      </c>
      <c r="C8" s="13" t="s">
        <v>5</v>
      </c>
      <c r="D8" s="13">
        <v>6</v>
      </c>
      <c r="E8" s="13"/>
      <c r="F8" s="13"/>
      <c r="G8" s="14">
        <f t="shared" si="0"/>
        <v>27</v>
      </c>
      <c r="J8" s="26" t="s">
        <v>65</v>
      </c>
      <c r="K8" s="27">
        <v>0.1</v>
      </c>
      <c r="L8" s="28" t="s">
        <v>66</v>
      </c>
      <c r="M8" s="28" t="s">
        <v>67</v>
      </c>
      <c r="N8" s="28" t="s">
        <v>68</v>
      </c>
      <c r="O8" s="29" t="s">
        <v>69</v>
      </c>
    </row>
    <row r="9" spans="1:15" ht="19.95" customHeight="1" thickBot="1" x14ac:dyDescent="0.35">
      <c r="A9" s="12">
        <v>4</v>
      </c>
      <c r="B9" s="13" t="s">
        <v>33</v>
      </c>
      <c r="C9" s="13" t="s">
        <v>6</v>
      </c>
      <c r="D9" s="13">
        <v>6</v>
      </c>
      <c r="E9" s="13"/>
      <c r="F9" s="13"/>
      <c r="G9" s="14">
        <f t="shared" si="0"/>
        <v>27</v>
      </c>
      <c r="J9" s="30" t="s">
        <v>70</v>
      </c>
      <c r="K9" s="31">
        <v>0.1</v>
      </c>
      <c r="L9" s="32" t="s">
        <v>71</v>
      </c>
      <c r="M9" s="32" t="s">
        <v>72</v>
      </c>
      <c r="N9" s="32" t="s">
        <v>73</v>
      </c>
      <c r="O9" s="33" t="s">
        <v>74</v>
      </c>
    </row>
    <row r="10" spans="1:15" ht="19.95" customHeight="1" thickTop="1" x14ac:dyDescent="0.3">
      <c r="A10" s="12">
        <v>8</v>
      </c>
      <c r="B10" s="13" t="s">
        <v>47</v>
      </c>
      <c r="C10" s="13" t="s">
        <v>48</v>
      </c>
      <c r="D10" s="13">
        <v>10</v>
      </c>
      <c r="E10" s="13"/>
      <c r="F10" s="13"/>
      <c r="G10" s="14">
        <f t="shared" si="0"/>
        <v>45</v>
      </c>
    </row>
    <row r="11" spans="1:15" ht="19.95" customHeight="1" x14ac:dyDescent="0.3">
      <c r="A11" s="12">
        <v>9</v>
      </c>
      <c r="B11" s="13" t="s">
        <v>34</v>
      </c>
      <c r="C11" s="13" t="s">
        <v>39</v>
      </c>
      <c r="D11" s="13">
        <v>6</v>
      </c>
      <c r="E11" s="13"/>
      <c r="F11" s="13"/>
      <c r="G11" s="14">
        <f t="shared" si="0"/>
        <v>27</v>
      </c>
    </row>
    <row r="12" spans="1:15" ht="19.95" customHeight="1" x14ac:dyDescent="0.3">
      <c r="A12" s="12">
        <v>10</v>
      </c>
      <c r="B12" s="13" t="s">
        <v>34</v>
      </c>
      <c r="C12" s="13" t="s">
        <v>7</v>
      </c>
      <c r="D12" s="13">
        <v>4</v>
      </c>
      <c r="E12" s="13"/>
      <c r="F12" s="13"/>
      <c r="G12" s="14">
        <f t="shared" si="0"/>
        <v>18</v>
      </c>
    </row>
    <row r="13" spans="1:15" ht="19.95" customHeight="1" x14ac:dyDescent="0.3">
      <c r="A13" s="12">
        <v>11</v>
      </c>
      <c r="B13" s="13" t="s">
        <v>34</v>
      </c>
      <c r="C13" s="13" t="s">
        <v>8</v>
      </c>
      <c r="D13" s="13">
        <v>5</v>
      </c>
      <c r="E13" s="13"/>
      <c r="F13" s="13"/>
      <c r="G13" s="14">
        <f t="shared" si="0"/>
        <v>22.5</v>
      </c>
    </row>
    <row r="14" spans="1:15" ht="19.95" customHeight="1" x14ac:dyDescent="0.3">
      <c r="A14" s="12">
        <v>12</v>
      </c>
      <c r="B14" s="13" t="s">
        <v>34</v>
      </c>
      <c r="C14" s="13" t="s">
        <v>9</v>
      </c>
      <c r="D14" s="13">
        <v>10</v>
      </c>
      <c r="E14" s="13"/>
      <c r="F14" s="13"/>
      <c r="G14" s="14">
        <f t="shared" si="0"/>
        <v>45</v>
      </c>
    </row>
    <row r="15" spans="1:15" ht="19.95" customHeight="1" x14ac:dyDescent="0.3">
      <c r="A15" s="12">
        <v>13</v>
      </c>
      <c r="B15" s="13" t="s">
        <v>49</v>
      </c>
      <c r="C15" s="13" t="s">
        <v>50</v>
      </c>
      <c r="D15" s="13">
        <v>10</v>
      </c>
      <c r="E15" s="13"/>
      <c r="F15" s="13"/>
      <c r="G15" s="14">
        <f t="shared" si="0"/>
        <v>45</v>
      </c>
    </row>
    <row r="16" spans="1:15" ht="19.95" customHeight="1" x14ac:dyDescent="0.3">
      <c r="A16" s="12">
        <v>14</v>
      </c>
      <c r="B16" s="13" t="s">
        <v>35</v>
      </c>
      <c r="C16" s="13" t="s">
        <v>40</v>
      </c>
      <c r="D16" s="13">
        <v>2</v>
      </c>
      <c r="E16" s="13"/>
      <c r="F16" s="13"/>
      <c r="G16" s="14">
        <f t="shared" si="0"/>
        <v>9</v>
      </c>
    </row>
    <row r="17" spans="1:7" ht="19.95" customHeight="1" x14ac:dyDescent="0.3">
      <c r="A17" s="12">
        <v>15</v>
      </c>
      <c r="B17" s="13" t="s">
        <v>35</v>
      </c>
      <c r="C17" s="13" t="s">
        <v>41</v>
      </c>
      <c r="D17" s="13">
        <v>2.5</v>
      </c>
      <c r="E17" s="13"/>
      <c r="F17" s="13"/>
      <c r="G17" s="14">
        <f t="shared" si="0"/>
        <v>11.25</v>
      </c>
    </row>
    <row r="18" spans="1:7" ht="19.95" customHeight="1" x14ac:dyDescent="0.3">
      <c r="A18" s="12">
        <v>16</v>
      </c>
      <c r="B18" s="13" t="s">
        <v>35</v>
      </c>
      <c r="C18" s="13" t="s">
        <v>42</v>
      </c>
      <c r="D18" s="13">
        <v>2.5</v>
      </c>
      <c r="E18" s="13"/>
      <c r="F18" s="13"/>
      <c r="G18" s="14">
        <f t="shared" si="0"/>
        <v>11.25</v>
      </c>
    </row>
    <row r="19" spans="1:7" ht="19.95" customHeight="1" x14ac:dyDescent="0.3">
      <c r="A19" s="12">
        <v>17</v>
      </c>
      <c r="B19" s="13" t="s">
        <v>35</v>
      </c>
      <c r="C19" s="13" t="s">
        <v>43</v>
      </c>
      <c r="D19" s="13">
        <v>2</v>
      </c>
      <c r="E19" s="13"/>
      <c r="F19" s="13"/>
      <c r="G19" s="14">
        <f t="shared" si="0"/>
        <v>9</v>
      </c>
    </row>
    <row r="20" spans="1:7" ht="19.95" customHeight="1" x14ac:dyDescent="0.3">
      <c r="A20" s="12">
        <v>18</v>
      </c>
      <c r="B20" s="13" t="s">
        <v>35</v>
      </c>
      <c r="C20" s="13" t="s">
        <v>44</v>
      </c>
      <c r="D20" s="13">
        <v>2</v>
      </c>
      <c r="E20" s="13"/>
      <c r="F20" s="13"/>
      <c r="G20" s="14">
        <f t="shared" si="0"/>
        <v>9</v>
      </c>
    </row>
    <row r="21" spans="1:7" ht="19.95" customHeight="1" x14ac:dyDescent="0.3">
      <c r="A21" s="12">
        <v>19</v>
      </c>
      <c r="B21" s="13" t="s">
        <v>35</v>
      </c>
      <c r="C21" s="13" t="s">
        <v>45</v>
      </c>
      <c r="D21" s="13">
        <v>2</v>
      </c>
      <c r="E21" s="13"/>
      <c r="F21" s="13"/>
      <c r="G21" s="14">
        <f t="shared" si="0"/>
        <v>9</v>
      </c>
    </row>
    <row r="22" spans="1:7" ht="19.95" customHeight="1" x14ac:dyDescent="0.3">
      <c r="A22" s="12">
        <v>20</v>
      </c>
      <c r="B22" s="13" t="s">
        <v>35</v>
      </c>
      <c r="C22" s="13" t="s">
        <v>10</v>
      </c>
      <c r="D22" s="13">
        <v>2</v>
      </c>
      <c r="E22" s="13"/>
      <c r="F22" s="13"/>
      <c r="G22" s="14">
        <f t="shared" si="0"/>
        <v>9</v>
      </c>
    </row>
    <row r="23" spans="1:7" ht="19.95" customHeight="1" thickBot="1" x14ac:dyDescent="0.35">
      <c r="A23" s="15">
        <v>21</v>
      </c>
      <c r="B23" s="13" t="s">
        <v>51</v>
      </c>
      <c r="C23" s="13" t="s">
        <v>52</v>
      </c>
      <c r="D23" s="13">
        <v>10</v>
      </c>
      <c r="E23" s="13"/>
      <c r="F23" s="13"/>
      <c r="G23" s="14">
        <f t="shared" si="0"/>
        <v>45</v>
      </c>
    </row>
    <row r="24" spans="1:7" ht="19.95" customHeight="1" thickTop="1" x14ac:dyDescent="0.3">
      <c r="A24" s="12">
        <v>22</v>
      </c>
      <c r="B24" s="13" t="s">
        <v>36</v>
      </c>
      <c r="C24" s="13" t="s">
        <v>11</v>
      </c>
      <c r="D24" s="13">
        <v>4</v>
      </c>
      <c r="E24" s="13"/>
      <c r="F24" s="13"/>
      <c r="G24" s="14">
        <f t="shared" si="0"/>
        <v>18</v>
      </c>
    </row>
    <row r="25" spans="1:7" ht="19.95" customHeight="1" thickBot="1" x14ac:dyDescent="0.35">
      <c r="A25" s="15">
        <v>23</v>
      </c>
      <c r="B25" s="13" t="s">
        <v>36</v>
      </c>
      <c r="C25" s="13" t="s">
        <v>12</v>
      </c>
      <c r="D25" s="13">
        <v>4</v>
      </c>
      <c r="E25" s="13"/>
      <c r="F25" s="13"/>
      <c r="G25" s="14">
        <f t="shared" si="0"/>
        <v>18</v>
      </c>
    </row>
    <row r="26" spans="1:7" ht="16.8" thickTop="1" thickBot="1" x14ac:dyDescent="0.35">
      <c r="A26" s="12">
        <v>24</v>
      </c>
      <c r="B26" s="16" t="s">
        <v>36</v>
      </c>
      <c r="C26" s="16" t="s">
        <v>37</v>
      </c>
      <c r="D26" s="16">
        <v>2</v>
      </c>
      <c r="E26" s="16"/>
      <c r="F26" s="16"/>
      <c r="G26" s="17">
        <f t="shared" si="0"/>
        <v>9</v>
      </c>
    </row>
    <row r="27" spans="1:7" ht="16.2" thickTop="1" x14ac:dyDescent="0.3">
      <c r="B27" s="18"/>
      <c r="C27" s="18"/>
      <c r="D27" s="18">
        <f>SUM(D6:D26)</f>
        <v>100</v>
      </c>
      <c r="E27" s="18"/>
      <c r="F27" s="18"/>
      <c r="G27" s="18">
        <v>450</v>
      </c>
    </row>
  </sheetData>
  <mergeCells count="1">
    <mergeCell ref="J5:O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ClassSE20xx</vt:lpstr>
      <vt:lpstr>Rubrics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Kieu Trong</dc:creator>
  <cp:lastModifiedBy>Khanh Kieu Trong</cp:lastModifiedBy>
  <dcterms:created xsi:type="dcterms:W3CDTF">2025-08-31T09:03:30Z</dcterms:created>
  <dcterms:modified xsi:type="dcterms:W3CDTF">2026-05-09T01:54:30Z</dcterms:modified>
</cp:coreProperties>
</file>