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huong\Desktop\FPTU\LAB211\02_J1.L.P0036.FootballClub_n_PlayerManagement_300LOCs\"/>
    </mc:Choice>
  </mc:AlternateContent>
  <xr:revisionPtr revIDLastSave="0" documentId="13_ncr:1_{943D283A-24B1-4C26-8B7E-E2BFFCA4A691}" xr6:coauthVersionLast="47" xr6:coauthVersionMax="47" xr10:uidLastSave="{00000000-0000-0000-0000-000000000000}"/>
  <bookViews>
    <workbookView xWindow="345" yWindow="570" windowWidth="38910" windowHeight="18795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<sst xmlns="http://schemas.openxmlformats.org/spreadsheetml/2006/main" count="281" uniqueCount="222">
  <si>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</si>
  <si>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</si>
  <si>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</si>
  <si>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</si>
  <si>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</si>
  <si>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</si>
  <si>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</si>
  <si>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</si>
  <si>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</si>
  <si>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</si>
  <si>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</si>
  <si>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</si>
  <si>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</si>
  <si>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</si>
  <si>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</si>
  <si>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</si>
  <si>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</si>
  <si>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</si>
  <si>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</si>
  <si>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Medium</t>
  </si>
  <si>
    <t>GitHub Copilot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</si>
  <si>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</si>
  <si>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</si>
  <si>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</si>
  <si>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</si>
  <si>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</si>
  <si>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</si>
  <si>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</si>
  <si>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</si>
  <si>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</si>
  <si>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</si>
  <si>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Entry #</t>
  </si>
  <si>
    <t>Prompt Type</t>
  </si>
  <si>
    <t>Stage/Component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</si>
  <si>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</si>
  <si>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</si>
  <si>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</si>
  <si>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</si>
  <si>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</si>
  <si>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</si>
  <si>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</si>
  <si>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</si>
  <si>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</si>
  <si>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</si>
  <si>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</si>
  <si>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</si>
  <si>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</si>
  <si>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</si>
  <si>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</si>
  <si>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</si>
  <si>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</si>
  <si>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</si>
  <si>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</si>
  <si>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</si>
  <si>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</si>
  <si>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</si>
  <si>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</si>
  <si>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</si>
  <si>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</si>
  <si>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</si>
  <si>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</si>
  <si>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</si>
  <si>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</si>
  <si>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</si>
  <si>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</si>
  <si>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</si>
  <si>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</si>
  <si>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</si>
  <si>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</si>
  <si>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</si>
  <si>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</si>
  <si>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</si>
  <si>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</si>
  <si>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</si>
  <si>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</si>
  <si>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</si>
  <si>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</si>
  <si>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</si>
  <si>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</si>
  <si>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</si>
  <si>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</si>
  <si>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</si>
  <si>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</si>
  <si>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</si>
  <si>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</si>
  <si>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</si>
  <si>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</si>
  <si>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</si>
  <si>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</si>
  <si>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</si>
  <si>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</si>
  <si>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</si>
  <si>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</si>
  <si>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</si>
  <si>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</si>
  <si>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</si>
  <si>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</si>
  <si>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</si>
  <si>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</si>
  <si>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</si>
  <si>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</si>
  <si>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</si>
  <si>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</si>
  <si>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</si>
  <si>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Nguyễn Phú Khương</t>
  </si>
  <si>
    <t>SE203056</t>
  </si>
  <si>
    <t>LAB211</t>
  </si>
  <si>
    <t>Gemini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</si>
  <si>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</si>
  <si>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</si>
  <si>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</si>
  <si>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</si>
  <si>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</si>
  <si>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</si>
  <si>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</si>
  <si>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</si>
  <si>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</si>
  <si>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</si>
  <si>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</si>
  <si>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</si>
  <si>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Football Club and Player Management System</t>
  </si>
  <si>
    <t>Verify architecture design (Layered vs MVC) and algorithm logic</t>
  </si>
  <si>
    <t>Critical thinking support</t>
  </si>
  <si>
    <t>Code completion, regex patterns, and syntax verification</t>
  </si>
  <si>
    <t>Productivity and syntax check</t>
  </si>
  <si>
    <t>Generate report documentation, validate Regex constraints</t>
  </si>
  <si>
    <t>Support with detailed validations</t>
  </si>
  <si>
    <t>Choosing architecture for console application.</t>
  </si>
  <si>
    <t>Should I use MVC or Layered Architecture for a Java console application managing football clubs?</t>
  </si>
  <si>
    <t>AI recommended MVC to separate concerns between View (console) and Controller (logic).</t>
  </si>
  <si>
    <t>Critical Thinking: MVC is overly complex for a simple CLI app.
Contextualization: The project strictly uses text inputs; there are no graphical UI views.
Creative Synthesis: I chose a Layered Architecture (model, business, dispatcher, tools).
Decision Ownership: Layered design keeps data objects (model) strictly separate from logic (business/Managers) and UI (Menu), which perfectly fits CLI.</t>
  </si>
  <si>
    <t>Managing 3 different entities (Club, Player, YouthPlayer).</t>
  </si>
  <si>
    <t>Should I put all CRUD operations in a single Database.java class or separate them?</t>
  </si>
  <si>
    <t>AI suggested a single Database class with generic methods to handle all entities.</t>
  </si>
  <si>
    <t>Critical Thinking: A single class would violate the Single Responsibility Principle and become a 'God Object'.
Contextualization: YouthPlayers have different business logic (eligibility) compared to Clubs.
Creative Synthesis: I decomposed the logic into ClubsManager, PlayersManager, and YouthPlayersManager.
Decision Ownership: Separating managers makes the code easier to maintain, load strictly, and test.</t>
  </si>
  <si>
    <t>Handling file I/O operations.</t>
  </si>
  <si>
    <t>Where should I implement the file reading and writing logic in a layered architecture?</t>
  </si>
  <si>
    <t>AI suggested creating a dedicated FileManager class to handle all I/O.</t>
  </si>
  <si>
    <t>Critical Thinking: A centralized FileManager is good, but tightly couples data parsing logic for all entities.
Contextualization: Each entity has unique strict validation rules during load.
Creative Synthesis: I implemented save() and loadStrict() methods directly inside each specific Manager.
Decision Ownership: This decomposition ensures that validation logic (e.g., checking if ClubID exists before adding a Player) stays within the respective Manager.</t>
  </si>
  <si>
    <t>Handling console inputs and validations repeatedly.</t>
  </si>
  <si>
    <t>I have to write try-catch for integer inputs everywhere. How to structure this?</t>
  </si>
  <si>
    <t>AI provided inline try-catch snippets to copy-paste wherever needed.</t>
  </si>
  <si>
    <t>Critical Thinking: Copy-pasting violates DRY (Don't Repeat Yourself) principle.
Contextualization: Menu requires constant validation for ints, doubles, and regex.
Creative Synthesis: I decomposed input handling into a static 'Inputter' utility class inside the 'tools' package.
Decision Ownership: Centralizing input logic makes Menu.java clean and ensures consistent error handling.</t>
  </si>
  <si>
    <t>Designing Player and YouthPlayer classes with shared fields.</t>
  </si>
  <si>
    <t>How should I structure Player and YouthPlayer classes since both have 'id' and 'name'?</t>
  </si>
  <si>
    <t>AI suggested using an Interface 'IPerson' with getId() and getName().</t>
  </si>
  <si>
    <t>Critical Thinking: Interfaces cannot store state (fields). I would have to duplicate the variables in both classes.
Contextualization: Java allows abstract classes which can hold shared protected state.
Creative Synthesis: I created an abstract 'Person' class containing protected 'id' and 'name'.
Decision Ownership: Using an abstract class prevents code duplication and provides a strong foundation for inheritance.</t>
  </si>
  <si>
    <t>Polymorphic display of information.</t>
  </si>
  <si>
    <t>How to print different info formats for Player vs YouthPlayer dynamically?</t>
  </si>
  <si>
    <t>AI suggested checking 'if (obj instanceof Player)' inside the print loop.</t>
  </si>
  <si>
    <t>Critical Thinking: Using instanceof breaks object-oriented polymorphism.
Contextualization: The system needs to print 'shirt number' for Players and 'Age/Eligibility' for YouthPlayers.
Creative Synthesis: I defined an abstract method 'getDisplayInfo()' in Person.java and overrode it in subclasses.
Decision Ownership: This applies pure Abstraction and Polymorphism, allowing calling getDisplayInfo() safely without knowing the exact type.</t>
  </si>
  <si>
    <t>Storing global validation constants.</t>
  </si>
  <si>
    <t>Where should I define regex strings like CLUB_ID_REGEX?</t>
  </si>
  <si>
    <t>AI suggested placing them directly inside the Club class as private static final.</t>
  </si>
  <si>
    <t>Critical Thinking: While acceptable, Player and Managers also need these regexes for validation.
Contextualization: Validation rules are a cross-cutting concern in this project.
Creative Synthesis: I abstracted these constants into an interface named 'Validatable'.
Decision Ownership: This groups all system constraints (Regex, Ages, Positions) in one abstract layer, accessible globally.</t>
  </si>
  <si>
    <t>Determining First Team eligibility.</t>
  </si>
  <si>
    <t>Should YouthPlayersManager calculate if a player is eligible for the first team?</t>
  </si>
  <si>
    <t>AI suggested checking 'if(player.getAge() &gt;= 18)' inside the listEligibleForFirstTeam() method.</t>
  </si>
  <si>
    <t>Critical Thinking: Putting this logic in the manager violates encapsulation. The entity should know its own state.
Contextualization: The logic is simple now but could grow complex.
Creative Synthesis: I created the 'isEligibleForFirstTeam()' method directly inside the YouthPlayer class.
Decision Ownership: Abstracting the business rule into the model ensures the manager just asks 'are you eligible?' without knowing the internal rules.</t>
  </si>
  <si>
    <t>Validating ID formats dynamically.</t>
  </si>
  <si>
    <t>Write a regex to match IDs like CL-0001 or CL-9999.</t>
  </si>
  <si>
    <t>AI suggested '^[A-Z]{2}-\d+$'.</t>
  </si>
  <si>
    <t>Critical Thinking: The AI regex is too loose (allows any 2 letters and any number of digits).
Contextualization: Project strictly requires 'CL' prefix and exactly 4 digits.
Creative Synthesis: I corrected the regex pattern to '^CL-\d{4}$'.
Decision Ownership: Recognizing the precise pattern constraint ensures database integrity from the moment of input.</t>
  </si>
  <si>
    <t>Validating Player positions case-insensitively.</t>
  </si>
  <si>
    <t>How to validate if an input string is a valid football position?</t>
  </si>
  <si>
    <t>AI suggested a long switch-case statement or nested if-else strings.</t>
  </si>
  <si>
    <t>Critical Thinking: A switch-case is verbose and hard to extend.
Contextualization: Only 5 positions are allowed (goalkeeper, defender, etc.), but users might type 'Goalkeeper' or 'GOALKEEPER'.
Creative Synthesis: I recognized the Set lookup pattern. Created an unmodifiable HashSet of lowercase positions and used POSITIONS.contains(value.toLowerCase()).
Decision Ownership: O(1) lookup time and much cleaner code.</t>
  </si>
  <si>
    <t>Detecting duplicate shirt numbers in the same club.</t>
  </si>
  <si>
    <t>How to check if a shirt number is taken when updating a player?</t>
  </si>
  <si>
    <t>AI suggested iterating through all players and returning true if numbers match.</t>
  </si>
  <si>
    <t>Critical Thinking: AI forgot that when updating, the player might keep their own number (self-match).
Contextualization: The check must exclude the current player being updated.
Creative Synthesis: I built a 'shirtTakenInClub(clubId, shirt, exceptPlayer)' method pattern.
Decision Ownership: Passing the current object reference as 'except' prevents false-positive duplicate errors during updates.</t>
  </si>
  <si>
    <t>Handling infinite loops for wrong inputs.</t>
  </si>
  <si>
    <t>How to force user to re-enter data if invalid?</t>
  </si>
  <si>
    <t>AI suggested recursive method calls (calling add() again if fail).</t>
  </si>
  <si>
    <t>Critical Thinking: Recursion for input can cause StackOverflow on bad users.
Contextualization: The CLI runs continuously in a Menu loop.
Creative Synthesis: I recognized the 'while(true)' loop pattern for standard input polling.
Decision Ownership: Placed inside Inputter.java, catching NumberFormatException and looping locally is memory-safe.</t>
  </si>
  <si>
    <t>Sorting players by Club Name, then Shirt Number.</t>
  </si>
  <si>
    <t>How to sort a list by an external attribute (Club Name) and then by an internal attribute (Shirt Number)?</t>
  </si>
  <si>
    <t>AI suggested writing a custom inner class implementing Comparator with multiple if-else statements.</t>
  </si>
  <si>
    <t>Critical Thinking: Custom if-else comparators are error-prone and hard to read.
Contextualization: I need to fetch the Club Name from ClubsManager during sorting.
Creative Synthesis: I used Java 8 Comparator chaining algorithm: Comparator.comparing().thenComparingInt().
Decision Ownership: This algorithm is more robust and cleaner.</t>
  </si>
  <si>
    <t>Searching players by partial name.</t>
  </si>
  <si>
    <t>Is Binary Search appropriate for finding a player by a partial name input?</t>
  </si>
  <si>
    <t>AI suggested sorting the list and using Binary Search for O(log n) performance.</t>
  </si>
  <si>
    <t>Critical Thinking: Binary Search only works for EXACT matches, not partial substrings (e.g., finding 'Mess' in 'Messi').
Contextualization: The project explicitly needs partial string matching.
Creative Synthesis: I rejected Binary Search and implemented a Linear Search algorithm using .toLowerCase().contains().
Decision Ownership: Linear search O(n) is the only correct algorithm for unsorted partial substring matching.</t>
  </si>
  <si>
    <t>Loading data strictly from files.</t>
  </si>
  <si>
    <t>How to read text files into objects safely?</t>
  </si>
  <si>
    <t>AI suggested reading line by line, catching exceptions, and continuing to the next line.</t>
  </si>
  <si>
    <t>Critical Thinking: AI's approach allows partial loading. If line 3 is corrupt, line 4 still loads.
Contextualization: The system state must be atomic. If the file is corrupt, the entire load should fail.
Creative Synthesis: I designed an algorithm that reads into a temporary List. If any validation fails, it returns false. Only if 100% successful does it overwrite the main List.
Decision Ownership: This atomic transaction algorithm prevents corrupted states.</t>
  </si>
  <si>
    <t>016</t>
  </si>
  <si>
    <t>Null-safe sorting when Club is missing.</t>
  </si>
  <si>
    <t>When sorting players by Club Name, what if the Club was deleted and getName() returns null?</t>
  </si>
  <si>
    <t>AI suggested ignoring nulls or removing those players.</t>
  </si>
  <si>
    <t>Critical Thinking: Removing data silently is dangerous.
Contextualization: We must handle potential orphan records gracefully.
Creative Synthesis: I applied the 'Comparator.nullsLast(String.CASE_INSENSITIVE_ORDER)' algorithm.
Decision Ownership: This safely pushes orphan players to the bottom of the list without throwing NullPointerExceptions.</t>
  </si>
  <si>
    <t>Problem / Context</t>
  </si>
  <si>
    <t>AI claimed that 'Collections.binarySearch()' is the most efficient way to search for players by a partial name string.</t>
  </si>
  <si>
    <t>Binary Search algorithm relies on exact matching and strict sorting. It fundamentally cannot evaluate partial substring matches (e.g., input 'Ronal' to find 'Ronaldo').</t>
  </si>
  <si>
    <t>Logical analysis of the algorithm and code testing (Binary Search returned negative insertion points instead of matches).</t>
  </si>
  <si>
    <t>Discarded the AI's algorithm. Implemented a Linear Search O(n) utilizing 'name.toLowerCase().contains()' which perfectly satisfies the project's requirement.</t>
  </si>
  <si>
    <t>Fabrication / Syntax Error</t>
  </si>
  <si>
    <t>AI provided the syntax: 'Comparator.comparing(p -&gt; clubs.getName(p.getClubID())).nullsLast()' to sort players by club name safely.</t>
  </si>
  <si>
    <t>The method '.nullsLast()' is not an instance method of a Comparator object that you can chain at the end like that. 'Comparator.nullsLast()' is a static wrapper method.</t>
  </si>
  <si>
    <t>IDE threw a compilation error: Cannot resolve method 'nullsLast' in 'Comparator'.</t>
  </si>
  <si>
    <t>Researched Java 8 Docs and corrected the syntax to: 'Comparator.comparing(..., Comparator.nullsLast(String.CASE_INSENSITIVE_ORDER))'.</t>
  </si>
  <si>
    <t>AI suggested using 'Scanner.nextInt()' to read the user's menu choice, claiming it's the standard way for integers.</t>
  </si>
  <si>
    <t>Scanner.nextInt() does not consume the newline character (\n) when the user presses Enter. This causes the immediate next 'Scanner.nextLine()' to read an empty string automatically, breaking the application flow.</t>
  </si>
  <si>
    <t>Runtime testing: the console menu completely skipped the next string prompt and crashed.</t>
  </si>
  <si>
    <t>Replaced 'Scanner.nextInt()' with 'Integer.parseInt(sc.nextLine().trim())' to safely consume the entire line buffer, as implemented in Inputter.java.</t>
  </si>
  <si>
    <t>Created packages: model, business, dispatcher, tools.</t>
  </si>
  <si>
    <t>ClubsManager.java, PlayersManager.java etc.</t>
  </si>
  <si>
    <t>loadStrict() in PlayersManager.java</t>
  </si>
  <si>
    <t>Inputter.inputInt(), Inputter.inputLoop()</t>
  </si>
  <si>
    <t>Person.java (abstract)</t>
  </si>
  <si>
    <t>getDisplayInfo() in Player and YouthPlayer</t>
  </si>
  <si>
    <t>Validatable.java interface</t>
  </si>
  <si>
    <t>YouthPlayer.isEligibleForFirstTeam()</t>
  </si>
  <si>
    <t>Validatable.CLUB_ID_REGEX</t>
  </si>
  <si>
    <t>Validatable.POSITIONS.contains()</t>
  </si>
  <si>
    <t>PlayersManager.shirtTakenInClub()</t>
  </si>
  <si>
    <t>while(true) in Inputter.inputInt()</t>
  </si>
  <si>
    <t>Comparator chaining in PlayersManager</t>
  </si>
  <si>
    <t>PlayersManager.searchByPartialName()</t>
  </si>
  <si>
    <t>tmp List in loadStrict()</t>
  </si>
  <si>
    <t>Comparator.nullsLast()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</si>
</sst>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b/>
      <sz val="16"/>
      <color rgb="FF2E75B6"/>
      <name val="Calibri"/>
      <family val="2"/>
    </font>
    <font>
      <b/>
      <sz val="14"/>
      <color rgb="FF2E75B6"/>
      <name val="Calibri"/>
      <family val="2"/>
    </font>
    <font>
      <b/>
      <sz val="11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i/>
      <sz val="10"/>
      <color rgb="FF666666"/>
      <name val="Calibri"/>
      <family val="2"/>
    </font>
    <font>
      <b/>
      <sz val="16"/>
      <color rgb="FFFF0000"/>
      <name val="Calibri"/>
      <family val="2"/>
    </font>
    <font>
      <b/>
      <i/>
      <sz val="10"/>
      <color rgb="FFFF0000"/>
      <name val="Calibri"/>
      <family val="2"/>
    </font>
    <font>
      <sz val="10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i/>
      <sz val="10"/>
      <name val="Calibri"/>
      <family val="2"/>
    </font>
    <font>
      <sz val="11"/>
      <name val="Calibri"/>
      <family val="2"/>
    </font>
    <font>
      <b/>
      <sz val="11"/>
      <color rgb="FFFFFFFF"/>
      <name val="Calibri"/>
    </font>
    <font>
      <b/>
      <sz val="16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4F81BD"/>
        <bgColor rgb="FF4F81BD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13" fillId="0" borderId="4" xfId="0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/>
    </xf>
    <xf numFmtId="0" fontId="0" fillId="0" borderId="3" xfId="0" applyBorder="1" applyAlignment="1">
      <alignment wrapText="1"/>
    </xf>
    <xf numFmtId="0" fontId="0" fillId="0" borderId="3" xfId="0" quotePrefix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0" borderId="0" xfId="0"/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6" xfId="0" applyBorder="1" applyAlignment="1">
      <alignment horizontal="center" vertical="top" wrapText="1"/>
    </xf>
    <xf numFmtId="0" fontId="14" fillId="5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6" xfId="0" applyBorder="1" applyAlignment="1">
      <alignment horizontal="center" vertical="top" wrapText="1"/>
    </xf>
    <xf numFmtId="0" fontId="0" fillId="0" borderId="6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1266824</xdr:colOff>
      <xdr:row>3</xdr:row>
      <xdr:rowOff>342900</xdr:rowOff>
    </xdr:from>
    <xdr:to>
      <xdr:col>7</xdr:col>
      <xdr:colOff>4511859</xdr:colOff>
      <xdr:row>3</xdr:row>
      <xdr:rowOff>1666875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255C4E68-67BB-F81F-31A5-209CA8294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35024" y="1419225"/>
          <a:ext cx="3245035" cy="1323975"/>
        </a:xfrm>
        <a:prstGeom prst="rect">
          <a:avLst/>
        </a:prstGeom>
      </xdr:spPr>
    </xdr:pic>
    <xdr:clientData/>
  </xdr:twoCellAnchor>
  <xdr:twoCellAnchor editAs="oneCell">
    <xdr:from>
      <xdr:col>7</xdr:col>
      <xdr:colOff>1152525</xdr:colOff>
      <xdr:row>4</xdr:row>
      <xdr:rowOff>276225</xdr:rowOff>
    </xdr:from>
    <xdr:to>
      <xdr:col>7</xdr:col>
      <xdr:colOff>4998165</xdr:colOff>
      <xdr:row>4</xdr:row>
      <xdr:rowOff>1695450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5B8DD8E8-9CAB-C6C0-35A6-5E3A8D6D1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20725" y="3257550"/>
          <a:ext cx="3845640" cy="14192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2950237</xdr:colOff>
      <xdr:row>5</xdr:row>
      <xdr:rowOff>1857375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8356770-6E75-EC14-C2F3-58A48282F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68200" y="4886325"/>
          <a:ext cx="2950237" cy="1857375"/>
        </a:xfrm>
        <a:prstGeom prst="rect">
          <a:avLst/>
        </a:prstGeom>
      </xdr:spPr>
    </xdr:pic>
    <xdr:clientData/>
  </xdr:twoCellAnchor>
  <xdr:twoCellAnchor editAs="oneCell">
    <xdr:from>
      <xdr:col>7</xdr:col>
      <xdr:colOff>2960335</xdr:colOff>
      <xdr:row>5</xdr:row>
      <xdr:rowOff>19050</xdr:rowOff>
    </xdr:from>
    <xdr:to>
      <xdr:col>9</xdr:col>
      <xdr:colOff>86575</xdr:colOff>
      <xdr:row>5</xdr:row>
      <xdr:rowOff>3039343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1E66F69A-062B-C4B5-1BF5-C3202D0B5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28535" y="4905375"/>
          <a:ext cx="2955540" cy="302029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1</xdr:rowOff>
    </xdr:from>
    <xdr:to>
      <xdr:col>8</xdr:col>
      <xdr:colOff>162456</xdr:colOff>
      <xdr:row>6</xdr:row>
      <xdr:rowOff>1809751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C3CDE7EA-82C1-E6C4-499F-F27F04539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68200" y="8124826"/>
          <a:ext cx="5382156" cy="1809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19050</xdr:rowOff>
    </xdr:from>
    <xdr:to>
      <xdr:col>22</xdr:col>
      <xdr:colOff>229823</xdr:colOff>
      <xdr:row>6</xdr:row>
      <xdr:rowOff>1848105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2B94D9FD-2FB1-0836-A9DF-4ED7B7DB3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487900" y="8143875"/>
          <a:ext cx="8764223" cy="182905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9525</xdr:rowOff>
    </xdr:from>
    <xdr:to>
      <xdr:col>9</xdr:col>
      <xdr:colOff>200025</xdr:colOff>
      <xdr:row>7</xdr:row>
      <xdr:rowOff>1760466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D800AC2-57E8-A054-B695-EA3C1CC52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268200" y="10039350"/>
          <a:ext cx="6029325" cy="1750941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285750</xdr:colOff>
      <xdr:row>8</xdr:row>
      <xdr:rowOff>47625</xdr:rowOff>
    </xdr:from>
    <xdr:to>
      <xdr:col>8</xdr:col>
      <xdr:colOff>457952</xdr:colOff>
      <xdr:row>8</xdr:row>
      <xdr:rowOff>2000523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3AB93185-CFBA-C592-F80E-25CD150AE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553950" y="11982450"/>
          <a:ext cx="5391902" cy="1952898"/>
        </a:xfrm>
        <a:prstGeom prst="rect">
          <a:avLst/>
        </a:prstGeom>
      </xdr:spPr>
    </xdr:pic>
    <xdr:clientData/>
  </xdr:twoCellAnchor>
  <xdr:twoCellAnchor editAs="oneCell">
    <xdr:from>
      <xdr:col>7</xdr:col>
      <xdr:colOff>447676</xdr:colOff>
      <xdr:row>8</xdr:row>
      <xdr:rowOff>2076450</xdr:rowOff>
    </xdr:from>
    <xdr:to>
      <xdr:col>7</xdr:col>
      <xdr:colOff>5057776</xdr:colOff>
      <xdr:row>9</xdr:row>
      <xdr:rowOff>2239433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A8D1EA8D-8D5F-51AB-0F2A-2B965900D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715876" y="14011275"/>
          <a:ext cx="4610100" cy="2258483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10</xdr:row>
      <xdr:rowOff>733425</xdr:rowOff>
    </xdr:from>
    <xdr:to>
      <xdr:col>12</xdr:col>
      <xdr:colOff>143958</xdr:colOff>
      <xdr:row>10</xdr:row>
      <xdr:rowOff>1562216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E4B50CC5-C175-C750-99FC-BD1BB489F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306300" y="17125950"/>
          <a:ext cx="7763958" cy="828791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11</xdr:row>
      <xdr:rowOff>428625</xdr:rowOff>
    </xdr:from>
    <xdr:to>
      <xdr:col>10</xdr:col>
      <xdr:colOff>277144</xdr:colOff>
      <xdr:row>11</xdr:row>
      <xdr:rowOff>1228837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78485B8-362B-4BDE-9B4D-EC04D7AF5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401550" y="18916650"/>
          <a:ext cx="6582694" cy="800212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12</xdr:row>
      <xdr:rowOff>447675</xdr:rowOff>
    </xdr:from>
    <xdr:to>
      <xdr:col>13</xdr:col>
      <xdr:colOff>10666</xdr:colOff>
      <xdr:row>12</xdr:row>
      <xdr:rowOff>1619414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1FD78778-09AC-2947-A28B-D471C1740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372975" y="20650200"/>
          <a:ext cx="8173591" cy="1171739"/>
        </a:xfrm>
        <a:prstGeom prst="rect">
          <a:avLst/>
        </a:prstGeom>
      </xdr:spPr>
    </xdr:pic>
    <xdr:clientData/>
  </xdr:twoCellAnchor>
  <xdr:twoCellAnchor editAs="oneCell">
    <xdr:from>
      <xdr:col>7</xdr:col>
      <xdr:colOff>180975</xdr:colOff>
      <xdr:row>12</xdr:row>
      <xdr:rowOff>2000250</xdr:rowOff>
    </xdr:from>
    <xdr:to>
      <xdr:col>11</xdr:col>
      <xdr:colOff>495300</xdr:colOff>
      <xdr:row>13</xdr:row>
      <xdr:rowOff>1779957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7AA77BBA-A0A3-F3F6-6259-8F68A1877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449175" y="22202775"/>
          <a:ext cx="7362825" cy="1875207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14</xdr:row>
      <xdr:rowOff>0</xdr:rowOff>
    </xdr:from>
    <xdr:to>
      <xdr:col>9</xdr:col>
      <xdr:colOff>514351</xdr:colOff>
      <xdr:row>14</xdr:row>
      <xdr:rowOff>2158875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2BCE28F8-F378-9728-27B3-8299B7FCA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268201" y="24460200"/>
          <a:ext cx="6343650" cy="2158875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15</xdr:row>
      <xdr:rowOff>0</xdr:rowOff>
    </xdr:from>
    <xdr:to>
      <xdr:col>7</xdr:col>
      <xdr:colOff>5143501</xdr:colOff>
      <xdr:row>15</xdr:row>
      <xdr:rowOff>2527627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D8C2E286-6C46-07E2-7C65-E390ED0B0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268201" y="26870025"/>
          <a:ext cx="5143500" cy="252762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9</xdr:col>
      <xdr:colOff>142875</xdr:colOff>
      <xdr:row>16</xdr:row>
      <xdr:rowOff>2570115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4F6272CD-FAC5-4B55-6DC8-CCBAA33DD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268200" y="29517975"/>
          <a:ext cx="5972175" cy="2570115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17</xdr:row>
      <xdr:rowOff>0</xdr:rowOff>
    </xdr:from>
    <xdr:to>
      <xdr:col>7</xdr:col>
      <xdr:colOff>2990851</xdr:colOff>
      <xdr:row>17</xdr:row>
      <xdr:rowOff>3266266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6BC9455B-5339-0491-C903-1E39D2BAD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268201" y="32261175"/>
          <a:ext cx="2990850" cy="3266266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18</xdr:row>
      <xdr:rowOff>200025</xdr:rowOff>
    </xdr:from>
    <xdr:to>
      <xdr:col>9</xdr:col>
      <xdr:colOff>96073</xdr:colOff>
      <xdr:row>18</xdr:row>
      <xdr:rowOff>1667080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3E6603D1-B366-F3DD-AF8A-15C9F8EB1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296775" y="35994975"/>
          <a:ext cx="5896798" cy="1467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="145" zoomScaleNormal="145" workbookViewId="0">
      <selection activeCell="G18" sqref="G18"/>
    </sheetView>
  </sheetViews>
  <sheetFormatPr defaultRowHeight="15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28" t="s">
        <v>0</v>
      </c>
      <c r="B1" s="29"/>
      <c r="C1" s="29"/>
      <c r="D1" s="29"/>
      <c r="E1" s="29"/>
      <c r="F1" s="29"/>
    </row>
    <row r="3" spans="1:6" ht="18.75" x14ac:dyDescent="0.3">
      <c r="A3" s="1" t="s">
        <v>1</v>
      </c>
    </row>
    <row r="4" spans="1:6" x14ac:dyDescent="0.25">
      <c r="A4" s="2" t="s">
        <v>2</v>
      </c>
      <c r="C4" t="s">
        <v>104</v>
      </c>
    </row>
    <row r="5" spans="1:6" x14ac:dyDescent="0.25">
      <c r="A5" s="2" t="s">
        <v>3</v>
      </c>
      <c r="C5" t="s">
        <v>105</v>
      </c>
    </row>
    <row r="6" spans="1:6" x14ac:dyDescent="0.25">
      <c r="A6" s="2" t="s">
        <v>4</v>
      </c>
      <c r="C6" t="s">
        <v>106</v>
      </c>
    </row>
    <row r="7" spans="1:6" x14ac:dyDescent="0.25">
      <c r="A7" s="2" t="s">
        <v>5</v>
      </c>
      <c r="C7" s="35" t="s">
        <v>120</v>
      </c>
    </row>
    <row r="9" spans="1:6" ht="18.75" x14ac:dyDescent="0.3">
      <c r="A9" s="1" t="s">
        <v>6</v>
      </c>
    </row>
    <row r="10" spans="1:6" x14ac:dyDescent="0.25">
      <c r="A10" s="2" t="s">
        <v>7</v>
      </c>
      <c r="C10">
        <v>100</v>
      </c>
    </row>
    <row r="11" spans="1:6" x14ac:dyDescent="0.25">
      <c r="A11" s="2" t="s">
        <v>8</v>
      </c>
      <c r="C11" s="3">
        <v>16</v>
      </c>
    </row>
    <row r="12" spans="1:6" x14ac:dyDescent="0.25">
      <c r="A12" s="2" t="s">
        <v>9</v>
      </c>
      <c r="C12" s="4">
        <f>C11/C10</f>
        <v>0.16</v>
      </c>
      <c r="E12" s="5" t="s">
        <v>10</v>
      </c>
    </row>
    <row r="13" spans="1:6" x14ac:dyDescent="0.25">
      <c r="A13" s="2" t="s">
        <v>11</v>
      </c>
      <c r="C13" s="3">
        <v>3</v>
      </c>
    </row>
    <row r="15" spans="1:6" ht="18.75" x14ac:dyDescent="0.3">
      <c r="A15" s="1" t="s">
        <v>12</v>
      </c>
    </row>
    <row r="16" spans="1:6" x14ac:dyDescent="0.25">
      <c r="A16" s="6" t="s">
        <v>13</v>
      </c>
      <c r="B16" s="6" t="s">
        <v>14</v>
      </c>
      <c r="C16" s="6" t="s">
        <v>15</v>
      </c>
      <c r="D16" s="6" t="s">
        <v>16</v>
      </c>
    </row>
    <row r="17" spans="1:4" ht="30" x14ac:dyDescent="0.25">
      <c r="A17" s="36" t="s">
        <v>17</v>
      </c>
      <c r="B17" s="37" t="s">
        <v>121</v>
      </c>
      <c r="C17" s="36" t="s">
        <v>18</v>
      </c>
      <c r="D17" s="37" t="s">
        <v>122</v>
      </c>
    </row>
    <row r="18" spans="1:4" ht="30" x14ac:dyDescent="0.25">
      <c r="A18" s="36" t="s">
        <v>20</v>
      </c>
      <c r="B18" s="37" t="s">
        <v>123</v>
      </c>
      <c r="C18" s="36" t="s">
        <v>18</v>
      </c>
      <c r="D18" s="37" t="s">
        <v>124</v>
      </c>
    </row>
    <row r="19" spans="1:4" ht="30" x14ac:dyDescent="0.25">
      <c r="A19" s="36" t="s">
        <v>107</v>
      </c>
      <c r="B19" s="37" t="s">
        <v>125</v>
      </c>
      <c r="C19" s="36" t="s">
        <v>19</v>
      </c>
      <c r="D19" s="37" t="s">
        <v>126</v>
      </c>
    </row>
    <row r="20" spans="1:4" x14ac:dyDescent="0.25">
      <c r="A20" s="7"/>
      <c r="B20" s="7"/>
      <c r="C20" s="7"/>
      <c r="D20" s="7"/>
    </row>
    <row r="22" spans="1:4" ht="18.75" x14ac:dyDescent="0.3">
      <c r="A22" s="1" t="s">
        <v>21</v>
      </c>
    </row>
    <row r="23" spans="1:4" x14ac:dyDescent="0.25">
      <c r="A23" s="6" t="s">
        <v>22</v>
      </c>
      <c r="B23" s="6" t="s">
        <v>23</v>
      </c>
      <c r="C23" s="6" t="s">
        <v>24</v>
      </c>
    </row>
    <row r="24" spans="1:4" x14ac:dyDescent="0.25">
      <c r="A24" s="7" t="s">
        <v>25</v>
      </c>
      <c r="B24" s="8">
        <v>4</v>
      </c>
      <c r="C24" s="9" t="s">
        <v>26</v>
      </c>
    </row>
    <row r="25" spans="1:4" x14ac:dyDescent="0.25">
      <c r="A25" s="7" t="s">
        <v>27</v>
      </c>
      <c r="B25" s="8">
        <v>4</v>
      </c>
      <c r="C25" s="9" t="s">
        <v>26</v>
      </c>
    </row>
    <row r="26" spans="1:4" x14ac:dyDescent="0.25">
      <c r="A26" s="7" t="s">
        <v>28</v>
      </c>
      <c r="B26" s="8">
        <v>4</v>
      </c>
      <c r="C26" s="9" t="s">
        <v>26</v>
      </c>
    </row>
    <row r="27" spans="1:4" x14ac:dyDescent="0.25">
      <c r="A27" s="7" t="s">
        <v>29</v>
      </c>
      <c r="B27" s="8">
        <v>4</v>
      </c>
      <c r="C27" s="9" t="s">
        <v>26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C18" zoomScaleNormal="100" workbookViewId="0">
      <selection activeCell="N19" sqref="N19"/>
    </sheetView>
  </sheetViews>
  <sheetFormatPr defaultRowHeight="15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78.28515625" customWidth="1"/>
  </cols>
  <sheetData>
    <row r="1" spans="1:8" x14ac:dyDescent="0.25">
      <c r="A1" s="34" t="s">
        <v>30</v>
      </c>
      <c r="B1" s="29"/>
      <c r="C1" s="29"/>
      <c r="D1" s="29"/>
      <c r="E1" s="29"/>
      <c r="F1" s="29"/>
      <c r="G1" s="29"/>
      <c r="H1" s="29"/>
    </row>
    <row r="2" spans="1:8" ht="30" customHeight="1" x14ac:dyDescent="0.25">
      <c r="A2" s="30"/>
      <c r="B2" s="29"/>
      <c r="C2" s="29"/>
      <c r="D2" s="29"/>
      <c r="E2" s="29"/>
      <c r="F2" s="29"/>
      <c r="G2" s="29"/>
      <c r="H2" s="29"/>
    </row>
    <row r="3" spans="1:8" ht="39.950000000000003" customHeight="1" x14ac:dyDescent="0.25">
      <c r="A3" s="40" t="s">
        <v>31</v>
      </c>
      <c r="B3" s="40" t="s">
        <v>32</v>
      </c>
      <c r="C3" s="40" t="s">
        <v>33</v>
      </c>
      <c r="D3" s="40" t="s">
        <v>192</v>
      </c>
      <c r="E3" s="40" t="s">
        <v>34</v>
      </c>
      <c r="F3" s="40" t="s">
        <v>35</v>
      </c>
      <c r="G3" s="40" t="s">
        <v>36</v>
      </c>
      <c r="H3" s="40" t="s">
        <v>37</v>
      </c>
    </row>
    <row r="4" spans="1:8" ht="150" x14ac:dyDescent="0.25">
      <c r="A4" s="39" t="s">
        <v>38</v>
      </c>
      <c r="B4" s="39" t="s">
        <v>39</v>
      </c>
      <c r="C4" s="39" t="s">
        <v>25</v>
      </c>
      <c r="D4" s="38" t="s">
        <v>127</v>
      </c>
      <c r="E4" s="38" t="s">
        <v>128</v>
      </c>
      <c r="F4" s="38" t="s">
        <v>129</v>
      </c>
      <c r="G4" s="38" t="s">
        <v>130</v>
      </c>
      <c r="H4" s="43" t="s">
        <v>206</v>
      </c>
    </row>
    <row r="5" spans="1:8" ht="150" x14ac:dyDescent="0.25">
      <c r="A5" s="39" t="s">
        <v>40</v>
      </c>
      <c r="B5" s="39" t="s">
        <v>39</v>
      </c>
      <c r="C5" s="39" t="s">
        <v>25</v>
      </c>
      <c r="D5" s="38" t="s">
        <v>131</v>
      </c>
      <c r="E5" s="38" t="s">
        <v>132</v>
      </c>
      <c r="F5" s="38" t="s">
        <v>133</v>
      </c>
      <c r="G5" s="38" t="s">
        <v>134</v>
      </c>
      <c r="H5" s="43" t="s">
        <v>207</v>
      </c>
    </row>
    <row r="6" spans="1:8" ht="255" customHeight="1" x14ac:dyDescent="0.25">
      <c r="A6" s="39" t="s">
        <v>42</v>
      </c>
      <c r="B6" s="39" t="s">
        <v>41</v>
      </c>
      <c r="C6" s="39" t="s">
        <v>25</v>
      </c>
      <c r="D6" s="38" t="s">
        <v>135</v>
      </c>
      <c r="E6" s="38" t="s">
        <v>136</v>
      </c>
      <c r="F6" s="38" t="s">
        <v>137</v>
      </c>
      <c r="G6" s="38" t="s">
        <v>138</v>
      </c>
      <c r="H6" s="43" t="s">
        <v>208</v>
      </c>
    </row>
    <row r="7" spans="1:8" ht="150" x14ac:dyDescent="0.25">
      <c r="A7" s="39" t="s">
        <v>108</v>
      </c>
      <c r="B7" s="39" t="s">
        <v>39</v>
      </c>
      <c r="C7" s="39" t="s">
        <v>25</v>
      </c>
      <c r="D7" s="38" t="s">
        <v>139</v>
      </c>
      <c r="E7" s="38" t="s">
        <v>140</v>
      </c>
      <c r="F7" s="38" t="s">
        <v>141</v>
      </c>
      <c r="G7" s="38" t="s">
        <v>142</v>
      </c>
      <c r="H7" s="43" t="s">
        <v>209</v>
      </c>
    </row>
    <row r="8" spans="1:8" ht="150" x14ac:dyDescent="0.25">
      <c r="A8" s="39" t="s">
        <v>109</v>
      </c>
      <c r="B8" s="39" t="s">
        <v>39</v>
      </c>
      <c r="C8" s="39" t="s">
        <v>28</v>
      </c>
      <c r="D8" s="38" t="s">
        <v>143</v>
      </c>
      <c r="E8" s="38" t="s">
        <v>144</v>
      </c>
      <c r="F8" s="38" t="s">
        <v>145</v>
      </c>
      <c r="G8" s="38" t="s">
        <v>146</v>
      </c>
      <c r="H8" s="43" t="s">
        <v>210</v>
      </c>
    </row>
    <row r="9" spans="1:8" ht="165" x14ac:dyDescent="0.25">
      <c r="A9" s="39" t="s">
        <v>110</v>
      </c>
      <c r="B9" s="39" t="s">
        <v>39</v>
      </c>
      <c r="C9" s="39" t="s">
        <v>28</v>
      </c>
      <c r="D9" s="38" t="s">
        <v>147</v>
      </c>
      <c r="E9" s="38" t="s">
        <v>148</v>
      </c>
      <c r="F9" s="38" t="s">
        <v>149</v>
      </c>
      <c r="G9" s="38" t="s">
        <v>150</v>
      </c>
      <c r="H9" s="43" t="s">
        <v>211</v>
      </c>
    </row>
    <row r="10" spans="1:8" ht="186" customHeight="1" x14ac:dyDescent="0.25">
      <c r="A10" s="39" t="s">
        <v>111</v>
      </c>
      <c r="B10" s="39" t="s">
        <v>39</v>
      </c>
      <c r="C10" s="39" t="s">
        <v>28</v>
      </c>
      <c r="D10" s="38" t="s">
        <v>151</v>
      </c>
      <c r="E10" s="38" t="s">
        <v>152</v>
      </c>
      <c r="F10" s="38" t="s">
        <v>153</v>
      </c>
      <c r="G10" s="38" t="s">
        <v>154</v>
      </c>
      <c r="H10" s="43" t="s">
        <v>212</v>
      </c>
    </row>
    <row r="11" spans="1:8" ht="165" x14ac:dyDescent="0.25">
      <c r="A11" s="39" t="s">
        <v>112</v>
      </c>
      <c r="B11" s="39" t="s">
        <v>41</v>
      </c>
      <c r="C11" s="39" t="s">
        <v>28</v>
      </c>
      <c r="D11" s="38" t="s">
        <v>155</v>
      </c>
      <c r="E11" s="38" t="s">
        <v>156</v>
      </c>
      <c r="F11" s="38" t="s">
        <v>157</v>
      </c>
      <c r="G11" s="38" t="s">
        <v>158</v>
      </c>
      <c r="H11" s="43" t="s">
        <v>213</v>
      </c>
    </row>
    <row r="12" spans="1:8" ht="135" x14ac:dyDescent="0.25">
      <c r="A12" s="39" t="s">
        <v>113</v>
      </c>
      <c r="B12" s="39" t="s">
        <v>43</v>
      </c>
      <c r="C12" s="39" t="s">
        <v>27</v>
      </c>
      <c r="D12" s="38" t="s">
        <v>159</v>
      </c>
      <c r="E12" s="38" t="s">
        <v>160</v>
      </c>
      <c r="F12" s="38" t="s">
        <v>161</v>
      </c>
      <c r="G12" s="38" t="s">
        <v>162</v>
      </c>
      <c r="H12" s="43" t="s">
        <v>214</v>
      </c>
    </row>
    <row r="13" spans="1:8" ht="165" x14ac:dyDescent="0.25">
      <c r="A13" s="39" t="s">
        <v>114</v>
      </c>
      <c r="B13" s="39" t="s">
        <v>41</v>
      </c>
      <c r="C13" s="39" t="s">
        <v>27</v>
      </c>
      <c r="D13" s="38" t="s">
        <v>163</v>
      </c>
      <c r="E13" s="38" t="s">
        <v>164</v>
      </c>
      <c r="F13" s="38" t="s">
        <v>165</v>
      </c>
      <c r="G13" s="38" t="s">
        <v>166</v>
      </c>
      <c r="H13" s="43" t="s">
        <v>215</v>
      </c>
    </row>
    <row r="14" spans="1:8" ht="170.25" customHeight="1" x14ac:dyDescent="0.25">
      <c r="A14" s="39" t="s">
        <v>115</v>
      </c>
      <c r="B14" s="39" t="s">
        <v>41</v>
      </c>
      <c r="C14" s="39" t="s">
        <v>27</v>
      </c>
      <c r="D14" s="38" t="s">
        <v>167</v>
      </c>
      <c r="E14" s="38" t="s">
        <v>168</v>
      </c>
      <c r="F14" s="38" t="s">
        <v>169</v>
      </c>
      <c r="G14" s="38" t="s">
        <v>170</v>
      </c>
      <c r="H14" s="43" t="s">
        <v>216</v>
      </c>
    </row>
    <row r="15" spans="1:8" ht="189.75" customHeight="1" x14ac:dyDescent="0.25">
      <c r="A15" s="39" t="s">
        <v>116</v>
      </c>
      <c r="B15" s="39" t="s">
        <v>39</v>
      </c>
      <c r="C15" s="39" t="s">
        <v>27</v>
      </c>
      <c r="D15" s="38" t="s">
        <v>171</v>
      </c>
      <c r="E15" s="38" t="s">
        <v>172</v>
      </c>
      <c r="F15" s="38" t="s">
        <v>173</v>
      </c>
      <c r="G15" s="38" t="s">
        <v>174</v>
      </c>
      <c r="H15" s="43" t="s">
        <v>217</v>
      </c>
    </row>
    <row r="16" spans="1:8" ht="208.5" customHeight="1" x14ac:dyDescent="0.25">
      <c r="A16" s="39" t="s">
        <v>117</v>
      </c>
      <c r="B16" s="39" t="s">
        <v>41</v>
      </c>
      <c r="C16" s="39" t="s">
        <v>29</v>
      </c>
      <c r="D16" s="38" t="s">
        <v>175</v>
      </c>
      <c r="E16" s="38" t="s">
        <v>176</v>
      </c>
      <c r="F16" s="38" t="s">
        <v>177</v>
      </c>
      <c r="G16" s="38" t="s">
        <v>178</v>
      </c>
      <c r="H16" s="43" t="s">
        <v>218</v>
      </c>
    </row>
    <row r="17" spans="1:8" ht="216" customHeight="1" x14ac:dyDescent="0.25">
      <c r="A17" s="39" t="s">
        <v>118</v>
      </c>
      <c r="B17" s="39" t="s">
        <v>39</v>
      </c>
      <c r="C17" s="39" t="s">
        <v>29</v>
      </c>
      <c r="D17" s="38" t="s">
        <v>179</v>
      </c>
      <c r="E17" s="38" t="s">
        <v>180</v>
      </c>
      <c r="F17" s="38" t="s">
        <v>181</v>
      </c>
      <c r="G17" s="38" t="s">
        <v>182</v>
      </c>
      <c r="H17" s="43" t="s">
        <v>219</v>
      </c>
    </row>
    <row r="18" spans="1:8" ht="278.25" customHeight="1" x14ac:dyDescent="0.25">
      <c r="A18" s="39" t="s">
        <v>119</v>
      </c>
      <c r="B18" s="39" t="s">
        <v>41</v>
      </c>
      <c r="C18" s="39" t="s">
        <v>29</v>
      </c>
      <c r="D18" s="38" t="s">
        <v>183</v>
      </c>
      <c r="E18" s="38" t="s">
        <v>184</v>
      </c>
      <c r="F18" s="38" t="s">
        <v>185</v>
      </c>
      <c r="G18" s="38" t="s">
        <v>186</v>
      </c>
      <c r="H18" s="43" t="s">
        <v>220</v>
      </c>
    </row>
    <row r="19" spans="1:8" ht="135" x14ac:dyDescent="0.25">
      <c r="A19" s="39" t="s">
        <v>187</v>
      </c>
      <c r="B19" s="39" t="s">
        <v>41</v>
      </c>
      <c r="C19" s="39" t="s">
        <v>29</v>
      </c>
      <c r="D19" s="38" t="s">
        <v>188</v>
      </c>
      <c r="E19" s="38" t="s">
        <v>189</v>
      </c>
      <c r="F19" s="38" t="s">
        <v>190</v>
      </c>
      <c r="G19" s="38" t="s">
        <v>191</v>
      </c>
      <c r="H19" s="43" t="s">
        <v>221</v>
      </c>
    </row>
    <row r="20" spans="1:8" x14ac:dyDescent="0.25">
      <c r="A20" s="19"/>
      <c r="B20" s="19"/>
      <c r="C20" s="19"/>
      <c r="D20" s="19"/>
      <c r="E20" s="19"/>
      <c r="F20" s="19"/>
      <c r="G20" s="19"/>
      <c r="H20" s="19"/>
    </row>
    <row r="21" spans="1:8" x14ac:dyDescent="0.25">
      <c r="A21" s="19"/>
      <c r="B21" s="19"/>
      <c r="C21" s="19"/>
      <c r="D21" s="19"/>
      <c r="E21" s="19"/>
      <c r="F21" s="19"/>
      <c r="G21" s="19"/>
      <c r="H21" s="19"/>
    </row>
    <row r="22" spans="1:8" x14ac:dyDescent="0.25">
      <c r="A22" s="19"/>
      <c r="B22" s="19"/>
      <c r="C22" s="19"/>
      <c r="D22" s="19"/>
      <c r="E22" s="19"/>
      <c r="F22" s="19"/>
      <c r="G22" s="19"/>
      <c r="H22" s="19"/>
    </row>
    <row r="23" spans="1:8" x14ac:dyDescent="0.25">
      <c r="A23" s="21"/>
      <c r="B23" s="21"/>
      <c r="C23" s="21"/>
      <c r="D23" s="21"/>
      <c r="E23" s="21"/>
      <c r="F23" s="21"/>
      <c r="G23" s="21"/>
      <c r="H23" s="21"/>
    </row>
    <row r="24" spans="1:8" x14ac:dyDescent="0.25">
      <c r="A24" s="22"/>
      <c r="B24" s="23"/>
      <c r="C24" s="24"/>
      <c r="D24" s="23"/>
      <c r="E24" s="25"/>
      <c r="F24" s="23"/>
      <c r="G24" s="23"/>
      <c r="H24" s="23"/>
    </row>
    <row r="25" spans="1:8" x14ac:dyDescent="0.25">
      <c r="A25" s="26"/>
      <c r="B25" s="23"/>
      <c r="C25" s="23"/>
      <c r="D25" s="23"/>
      <c r="E25" s="23"/>
      <c r="F25" s="23"/>
      <c r="G25" s="23"/>
      <c r="H25" s="23"/>
    </row>
    <row r="26" spans="1:8" x14ac:dyDescent="0.25">
      <c r="A26" s="26"/>
      <c r="B26" s="23"/>
      <c r="C26" s="23"/>
      <c r="D26" s="23"/>
      <c r="E26" s="23"/>
      <c r="F26" s="23"/>
      <c r="G26" s="23"/>
      <c r="H26" s="23"/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zoomScale="115" zoomScaleNormal="115" workbookViewId="0">
      <selection activeCell="C12" sqref="C12"/>
    </sheetView>
  </sheetViews>
  <sheetFormatPr defaultRowHeight="15" x14ac:dyDescent="0.25"/>
  <cols>
    <col min="1" max="1" width="12" customWidth="1"/>
    <col min="2" max="2" width="22" customWidth="1"/>
    <col min="3" max="3" width="102.42578125" bestFit="1" customWidth="1"/>
    <col min="4" max="6" width="30" customWidth="1"/>
  </cols>
  <sheetData>
    <row r="1" spans="1:6" x14ac:dyDescent="0.25">
      <c r="A1" s="32" t="s">
        <v>44</v>
      </c>
      <c r="B1" s="29"/>
      <c r="C1" s="29"/>
      <c r="D1" s="29"/>
      <c r="E1" s="29"/>
      <c r="F1" s="29"/>
    </row>
    <row r="2" spans="1:6" x14ac:dyDescent="0.25">
      <c r="A2" s="31" t="s">
        <v>45</v>
      </c>
      <c r="B2" s="29"/>
      <c r="C2" s="29"/>
      <c r="D2" s="29"/>
      <c r="E2" s="29"/>
      <c r="F2" s="29"/>
    </row>
    <row r="3" spans="1:6" ht="39.950000000000003" customHeight="1" x14ac:dyDescent="0.25">
      <c r="A3" s="6" t="s">
        <v>46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51</v>
      </c>
    </row>
    <row r="4" spans="1:6" ht="90" x14ac:dyDescent="0.25">
      <c r="A4" s="42" t="s">
        <v>118</v>
      </c>
      <c r="B4" s="42" t="s">
        <v>62</v>
      </c>
      <c r="C4" s="41" t="s">
        <v>193</v>
      </c>
      <c r="D4" s="41" t="s">
        <v>194</v>
      </c>
      <c r="E4" s="41" t="s">
        <v>195</v>
      </c>
      <c r="F4" s="41" t="s">
        <v>196</v>
      </c>
    </row>
    <row r="5" spans="1:6" ht="125.25" customHeight="1" x14ac:dyDescent="0.25">
      <c r="A5" s="42" t="s">
        <v>187</v>
      </c>
      <c r="B5" s="42" t="s">
        <v>197</v>
      </c>
      <c r="C5" s="41" t="s">
        <v>198</v>
      </c>
      <c r="D5" s="41" t="s">
        <v>199</v>
      </c>
      <c r="E5" s="41" t="s">
        <v>200</v>
      </c>
      <c r="F5" s="41" t="s">
        <v>201</v>
      </c>
    </row>
    <row r="6" spans="1:6" ht="60" customHeight="1" x14ac:dyDescent="0.25">
      <c r="A6" s="42" t="s">
        <v>116</v>
      </c>
      <c r="B6" s="42" t="s">
        <v>59</v>
      </c>
      <c r="C6" s="41" t="s">
        <v>202</v>
      </c>
      <c r="D6" s="41" t="s">
        <v>203</v>
      </c>
      <c r="E6" s="41" t="s">
        <v>204</v>
      </c>
      <c r="F6" s="41" t="s">
        <v>205</v>
      </c>
    </row>
    <row r="7" spans="1:6" x14ac:dyDescent="0.25">
      <c r="A7" s="18"/>
      <c r="B7" s="27"/>
      <c r="C7" s="20"/>
      <c r="D7" s="27"/>
      <c r="E7" s="7"/>
      <c r="F7" s="7"/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8.75" x14ac:dyDescent="0.3">
      <c r="A30" s="1" t="s">
        <v>53</v>
      </c>
    </row>
    <row r="31" spans="1:6" x14ac:dyDescent="0.25">
      <c r="A31" s="10" t="s">
        <v>54</v>
      </c>
      <c r="B31" s="10" t="s">
        <v>55</v>
      </c>
      <c r="C31" s="10" t="s">
        <v>56</v>
      </c>
    </row>
    <row r="32" spans="1:6" ht="30" x14ac:dyDescent="0.25">
      <c r="A32" s="7" t="s">
        <v>52</v>
      </c>
      <c r="B32" s="7" t="s">
        <v>57</v>
      </c>
      <c r="C32" s="7" t="s">
        <v>58</v>
      </c>
    </row>
    <row r="33" spans="1:3" ht="30" x14ac:dyDescent="0.25">
      <c r="A33" s="7" t="s">
        <v>59</v>
      </c>
      <c r="B33" s="7" t="s">
        <v>60</v>
      </c>
      <c r="C33" s="7" t="s">
        <v>61</v>
      </c>
    </row>
    <row r="34" spans="1:3" ht="30" x14ac:dyDescent="0.25">
      <c r="A34" s="7" t="s">
        <v>62</v>
      </c>
      <c r="B34" s="7" t="s">
        <v>63</v>
      </c>
      <c r="C34" s="7" t="s">
        <v>64</v>
      </c>
    </row>
    <row r="35" spans="1:3" ht="30" x14ac:dyDescent="0.25">
      <c r="A35" s="7" t="s">
        <v>65</v>
      </c>
      <c r="B35" s="7" t="s">
        <v>66</v>
      </c>
      <c r="C35" s="7" t="s">
        <v>67</v>
      </c>
    </row>
    <row r="36" spans="1:3" ht="45" x14ac:dyDescent="0.25">
      <c r="A36" s="7" t="s">
        <v>68</v>
      </c>
      <c r="B36" s="7" t="s">
        <v>69</v>
      </c>
      <c r="C36" s="7" t="s">
        <v>70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zoomScale="145" zoomScaleNormal="145" workbookViewId="0">
      <selection activeCell="D17" sqref="D17"/>
    </sheetView>
  </sheetViews>
  <sheetFormatPr defaultRowHeight="15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28" t="s">
        <v>71</v>
      </c>
      <c r="B1" s="29"/>
      <c r="C1" s="29"/>
      <c r="D1" s="29"/>
    </row>
    <row r="2" spans="1:4" x14ac:dyDescent="0.25">
      <c r="A2" s="33" t="s">
        <v>72</v>
      </c>
      <c r="B2" s="29"/>
      <c r="C2" s="29"/>
      <c r="D2" s="29"/>
    </row>
    <row r="4" spans="1:4" ht="18.75" x14ac:dyDescent="0.3">
      <c r="A4" s="1" t="s">
        <v>73</v>
      </c>
    </row>
    <row r="5" spans="1:4" x14ac:dyDescent="0.25">
      <c r="A5" s="6" t="s">
        <v>74</v>
      </c>
      <c r="B5" s="11" t="s">
        <v>75</v>
      </c>
      <c r="C5" s="6" t="s">
        <v>76</v>
      </c>
      <c r="D5" s="11" t="s">
        <v>77</v>
      </c>
    </row>
    <row r="6" spans="1:4" x14ac:dyDescent="0.25">
      <c r="A6" s="12" t="s">
        <v>78</v>
      </c>
      <c r="B6" s="13" t="s">
        <v>79</v>
      </c>
      <c r="C6" s="12" t="s">
        <v>80</v>
      </c>
      <c r="D6" s="13"/>
    </row>
    <row r="7" spans="1:4" x14ac:dyDescent="0.25">
      <c r="A7" s="12" t="s">
        <v>81</v>
      </c>
      <c r="B7" s="13" t="s">
        <v>82</v>
      </c>
      <c r="C7" s="12" t="s">
        <v>80</v>
      </c>
      <c r="D7" s="13"/>
    </row>
    <row r="8" spans="1:4" x14ac:dyDescent="0.25">
      <c r="A8" s="12" t="s">
        <v>83</v>
      </c>
      <c r="B8" s="13" t="s">
        <v>84</v>
      </c>
      <c r="C8" s="12" t="s">
        <v>80</v>
      </c>
      <c r="D8" s="13"/>
    </row>
    <row r="9" spans="1:4" x14ac:dyDescent="0.25">
      <c r="A9" s="12" t="s">
        <v>85</v>
      </c>
      <c r="B9" s="13" t="s">
        <v>86</v>
      </c>
      <c r="C9" s="12" t="s">
        <v>80</v>
      </c>
      <c r="D9" s="13"/>
    </row>
    <row r="10" spans="1:4" x14ac:dyDescent="0.25">
      <c r="A10" s="12" t="s">
        <v>87</v>
      </c>
      <c r="B10" s="13" t="s">
        <v>88</v>
      </c>
      <c r="C10" s="12" t="s">
        <v>80</v>
      </c>
      <c r="D10" s="13"/>
    </row>
    <row r="12" spans="1:4" ht="18.75" x14ac:dyDescent="0.3">
      <c r="A12" s="1" t="s">
        <v>89</v>
      </c>
    </row>
    <row r="13" spans="1:4" x14ac:dyDescent="0.25">
      <c r="A13" s="6" t="s">
        <v>74</v>
      </c>
      <c r="B13" s="11" t="s">
        <v>75</v>
      </c>
      <c r="C13" s="6" t="s">
        <v>76</v>
      </c>
      <c r="D13" s="11" t="s">
        <v>90</v>
      </c>
    </row>
    <row r="14" spans="1:4" x14ac:dyDescent="0.25">
      <c r="A14" s="12" t="s">
        <v>78</v>
      </c>
      <c r="B14" s="13" t="s">
        <v>91</v>
      </c>
      <c r="C14" s="12" t="s">
        <v>80</v>
      </c>
      <c r="D14" s="13"/>
    </row>
    <row r="15" spans="1:4" x14ac:dyDescent="0.25">
      <c r="A15" s="12" t="s">
        <v>81</v>
      </c>
      <c r="B15" s="13" t="s">
        <v>92</v>
      </c>
      <c r="C15" s="12" t="s">
        <v>80</v>
      </c>
      <c r="D15" s="13"/>
    </row>
    <row r="16" spans="1:4" x14ac:dyDescent="0.25">
      <c r="A16" s="12" t="s">
        <v>83</v>
      </c>
      <c r="B16" s="13" t="s">
        <v>93</v>
      </c>
      <c r="C16" s="12" t="s">
        <v>80</v>
      </c>
      <c r="D16" s="13"/>
    </row>
    <row r="17" spans="1:4" x14ac:dyDescent="0.25">
      <c r="A17" s="12" t="s">
        <v>85</v>
      </c>
      <c r="B17" s="13" t="s">
        <v>94</v>
      </c>
      <c r="C17" s="12" t="s">
        <v>80</v>
      </c>
      <c r="D17" s="13"/>
    </row>
    <row r="18" spans="1:4" x14ac:dyDescent="0.25">
      <c r="A18" s="12" t="s">
        <v>87</v>
      </c>
      <c r="B18" s="13" t="s">
        <v>95</v>
      </c>
      <c r="C18" s="12" t="s">
        <v>80</v>
      </c>
      <c r="D18" s="13"/>
    </row>
    <row r="20" spans="1:4" ht="15.75" x14ac:dyDescent="0.25">
      <c r="A20" s="14" t="s">
        <v>96</v>
      </c>
    </row>
    <row r="21" spans="1:4" x14ac:dyDescent="0.25">
      <c r="A21" s="15" t="s">
        <v>97</v>
      </c>
    </row>
    <row r="22" spans="1:4" x14ac:dyDescent="0.25">
      <c r="A22" s="15" t="s">
        <v>98</v>
      </c>
    </row>
    <row r="25" spans="1:4" ht="18.75" x14ac:dyDescent="0.3">
      <c r="A25" s="1" t="s">
        <v>99</v>
      </c>
    </row>
    <row r="26" spans="1:4" x14ac:dyDescent="0.25">
      <c r="A26" s="16" t="s">
        <v>100</v>
      </c>
    </row>
    <row r="27" spans="1:4" ht="60" x14ac:dyDescent="0.25">
      <c r="A27" s="17" t="s">
        <v>31</v>
      </c>
      <c r="B27" s="10" t="s">
        <v>101</v>
      </c>
      <c r="C27" s="10" t="s">
        <v>102</v>
      </c>
      <c r="D27" s="10" t="s">
        <v>103</v>
      </c>
    </row>
    <row r="28" spans="1:4" x14ac:dyDescent="0.25">
      <c r="A28" s="9" t="s">
        <v>38</v>
      </c>
      <c r="B28" s="7"/>
      <c r="C28" s="7"/>
      <c r="D28" s="7"/>
    </row>
    <row r="29" spans="1:4" x14ac:dyDescent="0.25">
      <c r="A29" s="9" t="s">
        <v>40</v>
      </c>
      <c r="B29" s="7"/>
      <c r="C29" s="7"/>
      <c r="D29" s="7"/>
    </row>
    <row r="30" spans="1:4" x14ac:dyDescent="0.25">
      <c r="A30" s="9" t="s">
        <v>42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Khương Nguyễn Phú</cp:lastModifiedBy>
  <dcterms:created xsi:type="dcterms:W3CDTF">2026-05-07T22:28:42Z</dcterms:created>
  <dcterms:modified xsi:type="dcterms:W3CDTF">2026-06-16T15:52:00Z</dcterms:modified>
</cp:coreProperties>
</file>