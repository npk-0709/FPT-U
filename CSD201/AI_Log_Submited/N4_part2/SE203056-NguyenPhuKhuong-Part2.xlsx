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huong\Desktop\FPTU\CSD201\N4\"/>
    </mc:Choice>
  </mc:AlternateContent>
  <xr:revisionPtr revIDLastSave="0" documentId="13_ncr:1_{A1E77C9F-76C5-4E46-B174-F0037F3A8DE6}" xr6:coauthVersionLast="47" xr6:coauthVersionMax="47" xr10:uidLastSave="{00000000-0000-0000-0000-000000000000}"/>
  <bookViews>
    <workbookView xWindow="35145" yWindow="180" windowWidth="34500" windowHeight="20685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<sst xmlns="http://schemas.openxmlformats.org/spreadsheetml/2006/main" count="212" uniqueCount="169">
  <si>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</si>
  <si>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</si>
  <si>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</si>
  <si>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</si>
  <si>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</si>
  <si>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</si>
  <si>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</si>
  <si>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</si>
  <si>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</si>
  <si>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</si>
  <si>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</si>
  <si>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</si>
  <si>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</si>
  <si>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</si>
  <si>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</si>
  <si>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</si>
  <si>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</si>
  <si>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Code generation, debugging</t>
  </si>
  <si>
    <t>High</t>
  </si>
  <si>
    <t>Rapid prototyping</t>
  </si>
  <si>
    <t>Requirement analysis, design review</t>
  </si>
  <si>
    <t>Deep reflection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</si>
  <si>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</si>
  <si>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</si>
  <si>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</si>
  <si>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</si>
  <si>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</si>
  <si>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</si>
  <si>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</si>
  <si>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</si>
  <si>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</si>
  <si>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</si>
  <si>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</si>
  <si>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</si>
  <si>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</si>
  <si>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</si>
  <si>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</si>
  <si>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</si>
  <si>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</si>
  <si>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</si>
  <si>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</si>
  <si>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</si>
  <si>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</si>
  <si>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</si>
  <si>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</si>
  <si>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</si>
  <si>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</si>
  <si>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</si>
  <si>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</si>
  <si>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</si>
  <si>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</si>
  <si>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</si>
  <si>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</si>
  <si>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</si>
  <si>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</si>
  <si>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</si>
  <si>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</si>
  <si>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</si>
  <si>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</si>
  <si>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</si>
  <si>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</si>
  <si>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</si>
  <si>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</si>
  <si>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</si>
  <si>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</si>
  <si>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</si>
  <si>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</si>
  <si>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</si>
  <si>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</si>
  <si>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</si>
  <si>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</si>
  <si>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</si>
  <si>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</si>
  <si>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</si>
  <si>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</si>
  <si>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</si>
  <si>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</si>
  <si>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</si>
  <si>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</si>
  <si>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</si>
  <si>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</si>
  <si>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</si>
  <si>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</si>
  <si>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</si>
  <si>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</si>
  <si>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</si>
  <si>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</si>
  <si>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</si>
  <si>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</si>
  <si>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</si>
  <si>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</si>
  <si>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</si>
  <si>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</si>
  <si>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</si>
  <si>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</si>
  <si>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</si>
  <si>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</si>
  <si>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</si>
  <si>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</si>
  <si>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</si>
  <si>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</si>
  <si>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</si>
  <si>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</si>
  <si>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</si>
  <si>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</si>
  <si>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</si>
  <si>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</si>
  <si>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</si>
  <si>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</si>
  <si>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</si>
  <si>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>Nguyễn Phú Khương</t>
  </si>
  <si>
    <t>SE203056</t>
  </si>
  <si>
    <t>CSD201</t>
  </si>
  <si>
    <t>Warehouse Inventory Management - Part 1</t>
  </si>
  <si>
    <t>Gemini</t>
  </si>
  <si>
    <t>Claude CLI</t>
  </si>
  <si>
    <t>Antigravity</t>
  </si>
  <si>
    <t>005</t>
  </si>
  <si>
    <t>006</t>
  </si>
  <si>
    <t>007</t>
  </si>
  <si>
    <t>008</t>
  </si>
  <si>
    <t>"The searchByCategory() method in ProductBST has an O(log N) time complexity because it is implemented on top of a Binary Search Tree."</t>
  </si>
  <si>
    <t>"In a warehouse batch dispatching model based on entry date and expiry date, should I abstract the batch container as a Stack (LIFO) or a Queue (FIFO) in my UML class diagram?"</t>
  </si>
  <si>
    <t>AI suggested that a Stack could work because physical boxes in a warehouse are stacked on top of each other, making top items (last inserted) more accessible for workers to pick first.</t>
  </si>
  <si>
    <t xml:space="preserve"> </t>
  </si>
  <si>
    <t>Modeling a catalog containing thousands of product barcodes. Need to decide between a hierarchical search tree (BST) and a Graph based on the relationships between index keys.</t>
  </si>
  <si>
    <t>"To model a warehouse product catalog indexed by unique barcode, should I abstract this relationship as a Graph or a Binary Search Tree (BST)?"</t>
  </si>
  <si>
    <t>Modeling the dispatch mechanism for warehouse batches (`ProductBatch`). Need to generalize the nature of stock entry/exit to select the appropriate linear data structure: Queue (FIFO) vs Stack (LIFO).</t>
  </si>
  <si>
    <t>AI replied: 'Yes, this is an elegant OOP code reuse technique; you can simply treat pointer1 as prev/left and pointer2 as next/right.'</t>
  </si>
  <si>
    <t>`NodeDoubly.java` lines 1–10 (`prev`, `next`) versus `ProductBST.java` lines 7–16 (`private static class Node { Node left, right; }`)</t>
  </si>
  <si>
    <t>AI recommended a Circular Array because it provides contiguous memory allocation, superior CPU cache locality, and avoids reference pointer overhead.</t>
  </si>
  <si>
    <t>`QueueDoublyLinkedList.java` lines 35–45 (`enqueue` O(1)), lines 47–65 (`dequeue` O(1)); absence of any capacity resizing constraints</t>
  </si>
  <si>
    <t>Generic data type abstraction: Should the Queue be generalized as an open Generic `QueueDoublyLinkedList&lt;T&gt;`, or hardcoded as a concrete `ProductBatchQueue`?</t>
  </si>
  <si>
    <t>AI recommended creating a dedicated `ProductBatchQueue` to avoid generic type syntax complexity, bypass type casting, and make code shorter.</t>
  </si>
  <si>
    <t>`QueueDoublyLinkedList.java` line 1: `public class QueueDoublyLinkedList&lt;T&gt;`; `Main.java` line 121 (`QueueDoublyLinkedList&lt;Integer&gt;`); `FIFOInventory.java` line 2 (`QueueDoublyLinkedList&lt;ProductBatch&gt;`)</t>
  </si>
  <si>
    <t>AI stated that it is an Aggregation (hollow diamond) because ProductBST is an independent data structure that could conceptually exist outside WarehouseSystem.</t>
  </si>
  <si>
    <t>Generalizing the Undo/Rollback mechanism: Verifying the structural differences between forward batch dispatching (Queue) and reverse action restoration (Stack).</t>
  </si>
  <si>
    <t>AI suggested reusing the current Queue by adding a method to insert elements into the head (enqueue at head) so no new data structure is needed.</t>
  </si>
  <si>
    <t>Big-O analysis and ADT invariant verification; `FIFOInventory.java` strictly enforces queue operations only at head/tail</t>
  </si>
  <si>
    <t>Behavioral strategy abstraction (Strategy Pattern): Abstracting the dispatch algorithm away from the physical container to seamlessly support multiple policies (FIFO, FEFO, LIFO).</t>
  </si>
  <si>
    <t>"Since both Doubly Linked List Nodes and BST Nodes have exactly two references (prev/next vs left/right), can I create a generic abstract BiDirectionalNode&lt;T&gt; class for both to maximize code reuse?"</t>
  </si>
  <si>
    <t>"When designing the Queue ADT abstraction for warehouse product batches, should the underlying storage engine be a Circular Array or a Doubly Linked List?"</t>
  </si>
  <si>
    <t>"Should I implement a generic QueueDoublyLinkedList&lt;T&gt; using Java Generics, or write a dedicated ProductBatchQueue class specifically for ProductBatch objects to keep things simple?"</t>
  </si>
  <si>
    <t>"In a UML Class Diagram, is the relationship between WarehouseSystem and ProductBST an Aggregation or a Composition? Why?"</t>
  </si>
  <si>
    <t>"If I want to add an Undo Last Export feature, can I reuse the existing QueueDoublyLinkedList by pushing the exported batch back into the front of the queue?"</t>
  </si>
  <si>
    <t>"Currently WarehouseSystem only supports FIFO. How can I abstract the system so it can dynamically support FIFO, LIFO, and FEFO (First-Expired, First-Out) without duplicating inventory classes?"</t>
  </si>
  <si>
    <t>This statement is ALGORITHMICALLY INCORRECT. A BST maintains the binary search invariant solely on its indexing key (`barcode`). The `category` attribute has no ordering invariant across tree nodes, meaning no subtree can be pruned during execution. The time complexity is unconditionally O(N) (exhaustive traversal of all nodes).</t>
  </si>
  <si>
    <t>Code Trace &amp; Algorithmic Analysis: Inspected `ProductBST.java` lines 116–124: `searchByCategoryRec` evaluates the category string and then recursively calls both `node.left` and `node.right`. Every single node in the tree is visited -&gt; proving the execution time is Θ(N), directly contradicting AI's O(log N) claim.</t>
  </si>
  <si>
    <t>Corrected technical documentation and Big-O analysis: Barcode lookups are O(log N) (balanced tree) or O(N) (degenerate tree), while Category searches are unconditionally O(N) on the current single-key BST. Documented this finding in project reflections.</t>
  </si>
  <si>
    <t>"In Java data structures, you can dynamically convert a Queue into a Stack in O(1) time by calling queue.reverseDirection() or casting directly to LIFOQueue."</t>
  </si>
  <si>
    <t>The method `queue.reverseDirection()` and O(1) dynamic casting mechanism DO NOT EXIST in Java standard libraries or foundational Computer Science ADT theory for standard linked lists. Reversing a singly or doubly linked queue requires O(N) pointer updates, or must be initially engineered as a Deque (Double-Ended Queue) with bidirectional symmetric endpoints.</t>
  </si>
  <si>
    <t>Compiler &amp; API Specification Check: Verified against official Java API Documentation (`java.util.Queue`) and reviewed `QueueDoublyLinkedList.java`. No such method or instantaneous conversion mechanism exists without corrupting pointer integrity.</t>
  </si>
  <si>
    <t>Dismissed the fabricated API. Reinforced ADT invariant integrity: If both FIFO and LIFO capabilities are simultaneously required on the same data collection, the structure must be explicitly abstracted as a Deque (Double-Ended Queue) or supplemented by a separate history Stack.</t>
  </si>
  <si>
    <t>Critical Thinking: AI confused local physical stacking limitations with the core business domain rules of inventory data. If abstracted as a Stack (LIFO), the oldest batches sitting at the bottom would never be dispatched, causing guaranteed product spoilage and massive financial waste.
Contextualization: In the `ProductBatch` entity, each batch carries `expiryDate` and `isExpired()`. For fast moving consumer goods (such as Fresh Milk SP001), the non negotiable industry rule is FIFO (First In, First Out) or FEFO (First Expired, First Out).
Creative Synthesis: Generalized the batch container as a FIFO Queue ADT. Implemented this abstraction via `QueueDoublyLinkedList&lt;ProductBatch&gt;`, guaranteeing that the element at `head` (the earliest imported batch) is always dequeued first via `dequeue()`.
Decision Ownership: Chose the Queue (FIFO) abstraction as the foundation for inventory batch tracking. Manifested in `FIFOInventory.java` with `private QueueDoublyLinkedList&lt;ProductBatch&gt; queue`.</t>
  </si>
  <si>
    <t>AI argued that a Graph is more versatile because it can represent arbitrary multi dimensional relationships between items, recommending an Adjacency List Graph for product catalog indexing.</t>
  </si>
  <si>
    <t>Critical Thinking: AI suffered from over abstraction. Product barcodes are alphanumeric strings with a strict total order (K1 &lt; K2 or K1 &gt; K2), lacking network cycles or many to many topological edges. Using a Graph would require BFS/DFS traversal running in O(V + E) time, forfeiting the divide and conquer search properties of ordered trees.
Contextualization: The warehouse catalog requires only two primary capabilities: (1) exact match lookup by barcode, and (2) lexicographically sorted catalog reporting. Both are innate strengths of a BST (O(log N) search, in order traversal in O(N)).
Creative Synthesis: Generalized the product collection into a Binary Search Tree (`ProductBST`). Each node abstracts a unique barcode key that partitions the search space into `left` and `right` subtrees.
Decision Ownership: Selected the Tree (BST) abstraction over Graph to maximize search performance and provide native in order sorting capabilities for catalog display.</t>
  </si>
  <si>
    <t>Designing node level abstractions: Should we unify Doubly Linked List Node (`NodeDoubly`) and Binary Search Tree Node (`BST.Node`) into a single abstract `BiDirectionalNode` class with two pointers to maximize code reuse?</t>
  </si>
  <si>
    <t>Critical Thinking: AI conflated incidental memory layout similarity (both having 2 references) with domain semantics and mathematical abstraction. A Doubly Linked List node represents a sequential predecessor/successor relationship (`prev`/`next` along a 1D axis), whereas a BST node represents a hierarchical parent child branching relationship partitioning a value domain (`left &lt; root &lt; right`).
Contextualization: Merging them would allow nonsensical operations like calling `node.getNext()` on a tree, breaking domain encapsulation and introducing cognitive overhead for future maintainers.
Creative Synthesis: Separated the two abstraction levels: `NodeDoubly&lt;T&gt;` acts as a linear building block for Queue ADTs; while the BST node is encapsulated as a `private static class Node` inside `ProductBST` with explicit `left` and `right` child pointers.
Decision Ownership: Enforced independent Node abstractions. Rejected superficial code reuse when underlying structural semantics diverge fundamentally.</t>
  </si>
  <si>
    <t>Queue ADT implementation abstraction: Evaluating the underlying data storage model should the batch Queue use a Circular Array or a Doubly Linked List?</t>
  </si>
  <si>
    <t>Critical Thinking: AI made a generic optimization argument without considering real world warehouse batch dynamics. A circular array requires a predetermined maximum capacity; when sudden large imports exceed capacity, the system triggers expensive O(N) array copying and memory reallocation.
Contextualization: In warehouse inventory, slow moving items might only hold 1 active batch, while high-volume SKUs receive dozens of batches continuously. Element volume exhibits high variance with unknown upper bounds.
Creative Synthesis: Abstracted the Queue using a Doubly Linked List (`QueueDoublyLinkedList`). Maintaining explicit `head` and `tail` pointers guarantees strictly O(1) `enqueue()` and `dequeue()` operations without capacity bounds or resize overhead. Furthermore, linked nodes facilitate partial quantity updates (`head.setQuantity(...)`) and dynamic node inspection.
Decision Ownership: Chose the linked node implementation over fixed/resizable circular arrays for batch management. Fully implemented in `QueueDoublyLinkedList.java`.</t>
  </si>
  <si>
    <t>Critical Thinking: AI's advice violates the core computer science principles of Abstraction and Reusability. A Queue is an Abstract Data Type (ADT) whose FIFO behavior (append at tail, remove at head) is fundamentally invariant regardless of whether it holds `Integer`, `String`, or `ProductBatch`.
Contextualization: The project deliverables explicitly require two testing workflows: `demoQueueDemo()` tests the Queue using `Integer` primitives, while `FIFOInventory` uses the Queue for `ProductBatch` domain objects. Hardcoding `ProductBatchQueue` would necessitate copy pasting an identical second queue class for integers.
Creative Synthesis: Generalized the data structure layer using Java Generics: `QueueDoublyLinkedList&lt;T&gt;` and `NodeDoubly&lt;T&gt;`. This achieves 100% code reuse across both academic primitive demonstrations and business inventory workflows.
Decision Ownership: Enforced generic abstraction (`&lt;T&gt;`). Proven by single-source reuse: instantiated with `Integer` at `Main.java` line 121 and with `ProductBatch` at `FIFOInventory.java` line 2.</t>
  </si>
  <si>
    <t>UML relationship modeling: Determining whether the relationship between `WarehouseSystem` and its sub components (`ProductBST`, `FIFOInventory`) is an Aggregation  or a Composition .</t>
  </si>
  <si>
    <t>Critical Thinking: AI misidentified the object lifecycle dependency. In the actual code, `productCatalog = new ProductBST()` and `fifoInventories = new HashMap&lt;&gt;()` are instantiated directly inside the `WarehouseSystem` constructor , without external dependency injection or public setters. If the `WarehouseSystem` instance is destroyed, the internal tree instance ceases to exist.
Contextualization: Under UML specifications, when the constituent part's lifecycle is bound to and co terminates with the composite whole, the relationship is strictly Composition . Conversely, the relationship between `Product` and `ProductBST` is Aggregation (◇) because `Product` instances can exist independently before insertion.
Creative Synthesis: Rectified the UML relationship semantics: `WarehouseSystem`  `ProductBST` (Composition) and `WarehouseSystem`  `FIFOInventory` (Composition); `ProductBST`  `Product` (Aggregation).
Decision Ownership: Applied exact UML Composition semantics to `WarehouseSystem` to authentically represent object lifetime and memory ownership in source code.</t>
  </si>
  <si>
    <t>Critical Thinking: AI compromised the foundational Queue ADT invariant. A standard Queue strictly admits elements at the `tail` and evicts from the `head`. Ad hoc insertions at the `head` turn the Queue into a loose Deque, destroying FIFO predictability. Furthermore, transactional rollback inherently exhibits LIFO (Last In, First Out) semantics: the most recent transaction must be inverted first.
Contextualization: An export operation may span partial quantities across multiple batches. Tracking and reversing multi step events requires an audit history log of state mutations.
Creative Synthesis: Conceptually abstracted an `OperationStack&lt;Transaction&gt;` (LIFO ADT). This cleanly isolates forward processing (Queue  FIFO) from reverse state recovery (Stack  LIFO) without corrupting either data structure's invariants.
Decision Ownership: Preserved strict Queue ADT semantics; reserved Stack (LIFO) abstraction for transaction rollback mechanisms.</t>
  </si>
  <si>
    <t>AI recommended passing a String strategy flag into exportGoods() and using a switch-case block inside FIFOInventory to handle different dispatch logic.</t>
  </si>
  <si>
    <t>WarehouseSystem.java lines 26–28; UML behavioral strategy diagram comparing Queue (FIFO) vs Min-Heap (FEFO)</t>
  </si>
  <si>
    <t>Critical Thinking: AI's proposal violates the Open/Closed Principle (OCP). Hardcoding switch case inside FIFOInventory causes class bloat with every new business policy, and having LIFO logic inside a class named FIFOInventory destroys semantic coherence. Contextualization: In WarehouseSystem.java lines 26–28, the overloaded method registerProduct(Product product, String strategy) already reserves a hook for strategy configuration. Creative Synthesis: Abstracted dispatch behavior via the Strategy Pattern: Define an interface InventoryStrategy with ProductBatch selectBatch(Collection&lt;ProductBatch&gt; batches). Specialized implementations include FIFOStrategy (backed by Queue), LIFOStrategy (backed by Stack), and FEFOStrategy (backed by Min PriorityQueue/Heap keyed on expiryDate). Decision Ownership: Adopted Strategy Pattern abstraction. Cleanly decouples dispatch algorithms from batch storage containers, enabling extensibility without code regressions.</t>
  </si>
  <si>
    <t xml:space="preserve">`FIFOInventory.java` lines 29–49; </t>
  </si>
  <si>
    <t xml:space="preserve">`WarehouseSystem.java` lines 11–14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</si>
</sst>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6" fillId="0" borderId="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2314833</xdr:colOff>
      <xdr:row>3</xdr:row>
      <xdr:rowOff>310412</xdr:rowOff>
    </xdr:from>
    <xdr:to>
      <xdr:col>7</xdr:col>
      <xdr:colOff>7276419</xdr:colOff>
      <xdr:row>3</xdr:row>
      <xdr:rowOff>3691787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227A6-539B-C7A8-A9DA-76C12A4F4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8476" y="1385376"/>
          <a:ext cx="4961586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4</xdr:row>
      <xdr:rowOff>60380</xdr:rowOff>
    </xdr:from>
    <xdr:to>
      <xdr:col>7</xdr:col>
      <xdr:colOff>3664715</xdr:colOff>
      <xdr:row>4</xdr:row>
      <xdr:rowOff>3843743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442E1F-D862-13B1-2D59-B8AD5D72F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1768" y="5326344"/>
          <a:ext cx="3426590" cy="3783363"/>
        </a:xfrm>
        <a:prstGeom prst="rect">
          <a:avLst/>
        </a:prstGeom>
      </xdr:spPr>
    </xdr:pic>
    <xdr:clientData/>
  </xdr:twoCellAnchor>
  <xdr:twoCellAnchor editAs="oneCell">
    <xdr:from>
      <xdr:col>7</xdr:col>
      <xdr:colOff>164537</xdr:colOff>
      <xdr:row>5</xdr:row>
      <xdr:rowOff>320617</xdr:rowOff>
    </xdr:from>
    <xdr:to>
      <xdr:col>7</xdr:col>
      <xdr:colOff>4193622</xdr:colOff>
      <xdr:row>5</xdr:row>
      <xdr:rowOff>3497036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16B686-7ADA-0736-9EBD-EF4255EA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38180" y="9519046"/>
          <a:ext cx="4029085" cy="3176419"/>
        </a:xfrm>
        <a:prstGeom prst="rect">
          <a:avLst/>
        </a:prstGeom>
      </xdr:spPr>
    </xdr:pic>
    <xdr:clientData/>
  </xdr:twoCellAnchor>
  <xdr:twoCellAnchor editAs="oneCell">
    <xdr:from>
      <xdr:col>7</xdr:col>
      <xdr:colOff>4613670</xdr:colOff>
      <xdr:row>5</xdr:row>
      <xdr:rowOff>344430</xdr:rowOff>
    </xdr:from>
    <xdr:to>
      <xdr:col>7</xdr:col>
      <xdr:colOff>7932963</xdr:colOff>
      <xdr:row>5</xdr:row>
      <xdr:rowOff>3477437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AD5895-4230-CDE2-4730-9428A877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87313" y="9542859"/>
          <a:ext cx="3319293" cy="3133007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</xdr:colOff>
      <xdr:row>6</xdr:row>
      <xdr:rowOff>56030</xdr:rowOff>
    </xdr:from>
    <xdr:to>
      <xdr:col>7</xdr:col>
      <xdr:colOff>9272633</xdr:colOff>
      <xdr:row>6</xdr:row>
      <xdr:rowOff>3541059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C4D77D-F9E9-E366-DC24-3771F7065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15264" y="12561795"/>
          <a:ext cx="9204598" cy="3485029"/>
        </a:xfrm>
        <a:prstGeom prst="rect">
          <a:avLst/>
        </a:prstGeom>
      </xdr:spPr>
    </xdr:pic>
    <xdr:clientData/>
  </xdr:twoCellAnchor>
  <xdr:twoCellAnchor editAs="oneCell">
    <xdr:from>
      <xdr:col>7</xdr:col>
      <xdr:colOff>85015</xdr:colOff>
      <xdr:row>7</xdr:row>
      <xdr:rowOff>525610</xdr:rowOff>
    </xdr:from>
    <xdr:to>
      <xdr:col>7</xdr:col>
      <xdr:colOff>5783633</xdr:colOff>
      <xdr:row>7</xdr:row>
      <xdr:rowOff>3415392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68B419-E609-E31A-337A-CBC571D88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58658" y="17153539"/>
          <a:ext cx="5698618" cy="2889782"/>
        </a:xfrm>
        <a:prstGeom prst="rect">
          <a:avLst/>
        </a:prstGeom>
      </xdr:spPr>
    </xdr:pic>
    <xdr:clientData/>
  </xdr:twoCellAnchor>
  <xdr:twoCellAnchor editAs="oneCell">
    <xdr:from>
      <xdr:col>7</xdr:col>
      <xdr:colOff>6121774</xdr:colOff>
      <xdr:row>7</xdr:row>
      <xdr:rowOff>283384</xdr:rowOff>
    </xdr:from>
    <xdr:to>
      <xdr:col>7</xdr:col>
      <xdr:colOff>8980714</xdr:colOff>
      <xdr:row>7</xdr:row>
      <xdr:rowOff>4297650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4EDED3-17B4-1CF5-760B-95B1EEEE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95417" y="16911313"/>
          <a:ext cx="2858940" cy="4014266"/>
        </a:xfrm>
        <a:prstGeom prst="rect">
          <a:avLst/>
        </a:prstGeom>
      </xdr:spPr>
    </xdr:pic>
    <xdr:clientData/>
  </xdr:twoCellAnchor>
  <xdr:twoCellAnchor editAs="oneCell">
    <xdr:from>
      <xdr:col>7</xdr:col>
      <xdr:colOff>49694</xdr:colOff>
      <xdr:row>8</xdr:row>
      <xdr:rowOff>753717</xdr:rowOff>
    </xdr:from>
    <xdr:to>
      <xdr:col>7</xdr:col>
      <xdr:colOff>5081381</xdr:colOff>
      <xdr:row>8</xdr:row>
      <xdr:rowOff>1987826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FD0A29-61B8-7974-6690-00BF620E1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24520" y="21766695"/>
          <a:ext cx="5031687" cy="1234109"/>
        </a:xfrm>
        <a:prstGeom prst="rect">
          <a:avLst/>
        </a:prstGeom>
      </xdr:spPr>
    </xdr:pic>
    <xdr:clientData/>
  </xdr:twoCellAnchor>
  <xdr:twoCellAnchor editAs="oneCell">
    <xdr:from>
      <xdr:col>7</xdr:col>
      <xdr:colOff>157370</xdr:colOff>
      <xdr:row>8</xdr:row>
      <xdr:rowOff>2625587</xdr:rowOff>
    </xdr:from>
    <xdr:to>
      <xdr:col>7</xdr:col>
      <xdr:colOff>8865326</xdr:colOff>
      <xdr:row>8</xdr:row>
      <xdr:rowOff>3834848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B12007-66FC-D97A-0322-8D9635B3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32196" y="23638565"/>
          <a:ext cx="8707956" cy="1209261"/>
        </a:xfrm>
        <a:prstGeom prst="rect">
          <a:avLst/>
        </a:prstGeom>
      </xdr:spPr>
    </xdr:pic>
    <xdr:clientData/>
  </xdr:twoCellAnchor>
  <xdr:twoCellAnchor editAs="oneCell">
    <xdr:from>
      <xdr:col>7</xdr:col>
      <xdr:colOff>5102088</xdr:colOff>
      <xdr:row>8</xdr:row>
      <xdr:rowOff>580770</xdr:rowOff>
    </xdr:from>
    <xdr:to>
      <xdr:col>7</xdr:col>
      <xdr:colOff>9222545</xdr:colOff>
      <xdr:row>8</xdr:row>
      <xdr:rowOff>2181237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EEE6C53-C72D-099C-7332-F77434AA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76914" y="21593748"/>
          <a:ext cx="4120457" cy="1600467"/>
        </a:xfrm>
        <a:prstGeom prst="rect">
          <a:avLst/>
        </a:prstGeom>
      </xdr:spPr>
    </xdr:pic>
    <xdr:clientData/>
  </xdr:twoCellAnchor>
  <xdr:twoCellAnchor editAs="oneCell">
    <xdr:from>
      <xdr:col>7</xdr:col>
      <xdr:colOff>149087</xdr:colOff>
      <xdr:row>9</xdr:row>
      <xdr:rowOff>902804</xdr:rowOff>
    </xdr:from>
    <xdr:to>
      <xdr:col>7</xdr:col>
      <xdr:colOff>9187322</xdr:colOff>
      <xdr:row>9</xdr:row>
      <xdr:rowOff>3205370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66B8C21-D3A2-BAF6-0F43-A52339A6D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23913" y="26106782"/>
          <a:ext cx="9038235" cy="2302566"/>
        </a:xfrm>
        <a:prstGeom prst="rect">
          <a:avLst/>
        </a:prstGeom>
      </xdr:spPr>
    </xdr:pic>
    <xdr:clientData/>
  </xdr:twoCellAnchor>
  <xdr:twoCellAnchor editAs="oneCell">
    <xdr:from>
      <xdr:col>7</xdr:col>
      <xdr:colOff>627528</xdr:colOff>
      <xdr:row>10</xdr:row>
      <xdr:rowOff>67236</xdr:rowOff>
    </xdr:from>
    <xdr:to>
      <xdr:col>7</xdr:col>
      <xdr:colOff>7507940</xdr:colOff>
      <xdr:row>13</xdr:row>
      <xdr:rowOff>472560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17F154-8C5C-A2E4-C9DC-497286C7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09175" y="29841265"/>
          <a:ext cx="6880412" cy="6893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="160" zoomScaleNormal="160" workbookViewId="0">
      <selection activeCell="D10" sqref="D10"/>
    </sheetView>
  </sheetViews>
  <sheetFormatPr defaultColWidth="8.7109375" defaultRowHeight="15" x14ac:dyDescent="0.25"/>
  <cols>
    <col min="1" max="1" width="25" style="5" customWidth="1"/>
    <col min="2" max="2" width="40" style="5" customWidth="1"/>
    <col min="3" max="3" width="15" style="5" customWidth="1"/>
    <col min="4" max="4" width="30" style="5" customWidth="1"/>
    <col min="5" max="6" width="20" style="5" customWidth="1"/>
    <col min="7" max="16384" width="8.7109375" style="5"/>
  </cols>
  <sheetData>
    <row r="1" spans="1:6" x14ac:dyDescent="0.25">
      <c r="A1" s="25" t="s">
        <v>0</v>
      </c>
      <c r="B1" s="24"/>
      <c r="C1" s="24"/>
      <c r="D1" s="24"/>
      <c r="E1" s="24"/>
      <c r="F1" s="24"/>
    </row>
    <row r="3" spans="1:6" ht="18.75" x14ac:dyDescent="0.3">
      <c r="A3" s="8" t="s">
        <v>1</v>
      </c>
    </row>
    <row r="4" spans="1:6" x14ac:dyDescent="0.25">
      <c r="A4" s="9" t="s">
        <v>2</v>
      </c>
      <c r="C4" s="5" t="s">
        <v>110</v>
      </c>
    </row>
    <row r="5" spans="1:6" x14ac:dyDescent="0.25">
      <c r="A5" s="9" t="s">
        <v>3</v>
      </c>
      <c r="C5" s="5" t="s">
        <v>111</v>
      </c>
    </row>
    <row r="6" spans="1:6" x14ac:dyDescent="0.25">
      <c r="A6" s="9" t="s">
        <v>4</v>
      </c>
      <c r="C6" s="5" t="s">
        <v>112</v>
      </c>
    </row>
    <row r="7" spans="1:6" x14ac:dyDescent="0.25">
      <c r="A7" s="9" t="s">
        <v>5</v>
      </c>
      <c r="C7" s="5" t="s">
        <v>113</v>
      </c>
    </row>
    <row r="9" spans="1:6" ht="18.75" x14ac:dyDescent="0.3">
      <c r="A9" s="8" t="s">
        <v>6</v>
      </c>
    </row>
    <row r="10" spans="1:6" x14ac:dyDescent="0.25">
      <c r="A10" s="9" t="s">
        <v>7</v>
      </c>
      <c r="C10" s="5">
        <v>49</v>
      </c>
    </row>
    <row r="11" spans="1:6" x14ac:dyDescent="0.25">
      <c r="A11" s="9" t="s">
        <v>8</v>
      </c>
      <c r="C11" s="10">
        <v>8</v>
      </c>
    </row>
    <row r="12" spans="1:6" x14ac:dyDescent="0.25">
      <c r="A12" s="9" t="s">
        <v>9</v>
      </c>
      <c r="C12" s="11">
        <f>C11/C10</f>
        <v>0.16326530612244897</v>
      </c>
      <c r="E12" s="12" t="s">
        <v>10</v>
      </c>
    </row>
    <row r="13" spans="1:6" x14ac:dyDescent="0.25">
      <c r="A13" s="9" t="s">
        <v>11</v>
      </c>
      <c r="C13" s="10">
        <v>2</v>
      </c>
    </row>
    <row r="15" spans="1:6" ht="18.75" x14ac:dyDescent="0.3">
      <c r="A15" s="8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114</v>
      </c>
      <c r="B17" s="7" t="s">
        <v>20</v>
      </c>
      <c r="C17" s="7" t="s">
        <v>18</v>
      </c>
      <c r="D17" s="7" t="s">
        <v>21</v>
      </c>
    </row>
    <row r="18" spans="1:4" x14ac:dyDescent="0.25">
      <c r="A18" s="7" t="s">
        <v>115</v>
      </c>
      <c r="B18" s="7" t="s">
        <v>17</v>
      </c>
      <c r="C18" s="7" t="s">
        <v>18</v>
      </c>
      <c r="D18" s="7" t="s">
        <v>19</v>
      </c>
    </row>
    <row r="19" spans="1:4" x14ac:dyDescent="0.25">
      <c r="A19" s="7" t="s">
        <v>116</v>
      </c>
      <c r="B19" s="7" t="s">
        <v>22</v>
      </c>
      <c r="C19" s="7" t="s">
        <v>18</v>
      </c>
      <c r="D19" s="7" t="s">
        <v>23</v>
      </c>
    </row>
    <row r="20" spans="1:4" x14ac:dyDescent="0.25">
      <c r="A20" s="7"/>
      <c r="B20" s="7"/>
      <c r="C20" s="7"/>
      <c r="D20" s="7"/>
    </row>
    <row r="22" spans="1:4" ht="18.75" x14ac:dyDescent="0.3">
      <c r="A22" s="8" t="s">
        <v>24</v>
      </c>
    </row>
    <row r="23" spans="1:4" ht="28.5" x14ac:dyDescent="0.25">
      <c r="A23" s="6" t="s">
        <v>25</v>
      </c>
      <c r="B23" s="6" t="s">
        <v>26</v>
      </c>
      <c r="C23" s="6" t="s">
        <v>27</v>
      </c>
    </row>
    <row r="24" spans="1:4" x14ac:dyDescent="0.25">
      <c r="A24" s="7" t="s">
        <v>28</v>
      </c>
      <c r="B24" s="13">
        <v>0</v>
      </c>
      <c r="C24" s="14" t="s">
        <v>29</v>
      </c>
    </row>
    <row r="25" spans="1:4" x14ac:dyDescent="0.25">
      <c r="A25" s="7" t="s">
        <v>30</v>
      </c>
      <c r="B25" s="13">
        <v>0</v>
      </c>
      <c r="C25" s="14" t="s">
        <v>29</v>
      </c>
    </row>
    <row r="26" spans="1:4" x14ac:dyDescent="0.25">
      <c r="A26" s="7" t="s">
        <v>31</v>
      </c>
      <c r="B26" s="13">
        <v>8</v>
      </c>
      <c r="C26" s="14" t="s">
        <v>29</v>
      </c>
    </row>
    <row r="27" spans="1:4" x14ac:dyDescent="0.25">
      <c r="A27" s="7" t="s">
        <v>32</v>
      </c>
      <c r="B27" s="13">
        <v>0</v>
      </c>
      <c r="C27" s="14" t="s">
        <v>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topLeftCell="A10" zoomScale="85" zoomScaleNormal="85" workbookViewId="0">
      <selection activeCell="J11" sqref="J11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143" customWidth="1"/>
  </cols>
  <sheetData>
    <row r="1" spans="1:9" x14ac:dyDescent="0.25">
      <c r="A1" s="25" t="s">
        <v>33</v>
      </c>
      <c r="B1" s="24"/>
      <c r="C1" s="24"/>
      <c r="D1" s="24"/>
      <c r="E1" s="24"/>
      <c r="F1" s="24"/>
      <c r="G1" s="24"/>
      <c r="H1" s="24"/>
    </row>
    <row r="2" spans="1:9" ht="30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</row>
    <row r="3" spans="1:9" ht="40.15" customHeight="1" x14ac:dyDescent="0.25">
      <c r="A3" s="34" t="s">
        <v>35</v>
      </c>
      <c r="B3" s="34" t="s">
        <v>36</v>
      </c>
      <c r="C3" s="34" t="s">
        <v>37</v>
      </c>
      <c r="D3" s="34" t="s">
        <v>38</v>
      </c>
      <c r="E3" s="34" t="s">
        <v>39</v>
      </c>
      <c r="F3" s="34" t="s">
        <v>40</v>
      </c>
      <c r="G3" s="34" t="s">
        <v>41</v>
      </c>
      <c r="H3" s="34" t="s">
        <v>42</v>
      </c>
    </row>
    <row r="4" spans="1:9" ht="330" x14ac:dyDescent="0.25">
      <c r="A4" s="31" t="s">
        <v>43</v>
      </c>
      <c r="B4" s="31" t="s">
        <v>44</v>
      </c>
      <c r="C4" s="31" t="s">
        <v>31</v>
      </c>
      <c r="D4" s="31" t="s">
        <v>127</v>
      </c>
      <c r="E4" s="31" t="s">
        <v>122</v>
      </c>
      <c r="F4" s="31" t="s">
        <v>123</v>
      </c>
      <c r="G4" s="31" t="s">
        <v>153</v>
      </c>
      <c r="H4" s="31" t="s">
        <v>167</v>
      </c>
    </row>
    <row r="5" spans="1:9" ht="309.75" customHeight="1" x14ac:dyDescent="0.25">
      <c r="A5" s="31" t="s">
        <v>45</v>
      </c>
      <c r="B5" s="31" t="s">
        <v>44</v>
      </c>
      <c r="C5" s="31" t="s">
        <v>31</v>
      </c>
      <c r="D5" s="31" t="s">
        <v>125</v>
      </c>
      <c r="E5" s="31" t="s">
        <v>126</v>
      </c>
      <c r="F5" s="31" t="s">
        <v>154</v>
      </c>
      <c r="G5" s="31" t="s">
        <v>155</v>
      </c>
      <c r="H5" s="31"/>
      <c r="I5" t="s">
        <v>124</v>
      </c>
    </row>
    <row r="6" spans="1:9" ht="300" x14ac:dyDescent="0.25">
      <c r="A6" s="35" t="s">
        <v>47</v>
      </c>
      <c r="B6" s="31" t="s">
        <v>46</v>
      </c>
      <c r="C6" s="31" t="s">
        <v>31</v>
      </c>
      <c r="D6" s="31" t="s">
        <v>156</v>
      </c>
      <c r="E6" s="31" t="s">
        <v>140</v>
      </c>
      <c r="F6" s="31" t="s">
        <v>128</v>
      </c>
      <c r="G6" s="31" t="s">
        <v>157</v>
      </c>
      <c r="H6" s="43" t="s">
        <v>129</v>
      </c>
    </row>
    <row r="7" spans="1:9" s="5" customFormat="1" ht="285" x14ac:dyDescent="0.25">
      <c r="A7" s="36" t="s">
        <v>109</v>
      </c>
      <c r="B7" s="31" t="s">
        <v>44</v>
      </c>
      <c r="C7" s="31" t="s">
        <v>31</v>
      </c>
      <c r="D7" s="31" t="s">
        <v>139</v>
      </c>
      <c r="E7" s="31" t="s">
        <v>145</v>
      </c>
      <c r="F7" s="31" t="s">
        <v>164</v>
      </c>
      <c r="G7" s="31" t="s">
        <v>166</v>
      </c>
      <c r="H7" s="31" t="s">
        <v>165</v>
      </c>
    </row>
    <row r="8" spans="1:9" s="5" customFormat="1" ht="345" x14ac:dyDescent="0.25">
      <c r="A8" s="35" t="s">
        <v>117</v>
      </c>
      <c r="B8" s="31" t="s">
        <v>44</v>
      </c>
      <c r="C8" s="31" t="s">
        <v>31</v>
      </c>
      <c r="D8" s="31" t="s">
        <v>158</v>
      </c>
      <c r="E8" s="31" t="s">
        <v>141</v>
      </c>
      <c r="F8" s="31" t="s">
        <v>130</v>
      </c>
      <c r="G8" s="31" t="s">
        <v>159</v>
      </c>
      <c r="H8" s="43" t="s">
        <v>131</v>
      </c>
    </row>
    <row r="9" spans="1:9" s="5" customFormat="1" ht="330" x14ac:dyDescent="0.25">
      <c r="A9" s="35" t="s">
        <v>118</v>
      </c>
      <c r="B9" s="31" t="s">
        <v>46</v>
      </c>
      <c r="C9" s="31" t="s">
        <v>31</v>
      </c>
      <c r="D9" s="31" t="s">
        <v>132</v>
      </c>
      <c r="E9" s="31" t="s">
        <v>142</v>
      </c>
      <c r="F9" s="31" t="s">
        <v>133</v>
      </c>
      <c r="G9" s="31" t="s">
        <v>160</v>
      </c>
      <c r="H9" s="43" t="s">
        <v>134</v>
      </c>
    </row>
    <row r="10" spans="1:9" ht="360" x14ac:dyDescent="0.25">
      <c r="A10" s="36" t="s">
        <v>119</v>
      </c>
      <c r="B10" s="31" t="s">
        <v>44</v>
      </c>
      <c r="C10" s="31" t="s">
        <v>31</v>
      </c>
      <c r="D10" s="31" t="s">
        <v>161</v>
      </c>
      <c r="E10" s="31" t="s">
        <v>143</v>
      </c>
      <c r="F10" s="31" t="s">
        <v>135</v>
      </c>
      <c r="G10" s="31" t="s">
        <v>162</v>
      </c>
      <c r="H10" s="43" t="s">
        <v>168</v>
      </c>
    </row>
    <row r="11" spans="1:9" ht="409.5" customHeight="1" x14ac:dyDescent="0.25">
      <c r="A11" s="36" t="s">
        <v>120</v>
      </c>
      <c r="B11" s="39" t="s">
        <v>48</v>
      </c>
      <c r="C11" s="39" t="s">
        <v>31</v>
      </c>
      <c r="D11" s="39" t="s">
        <v>136</v>
      </c>
      <c r="E11" s="39" t="s">
        <v>144</v>
      </c>
      <c r="F11" s="39" t="s">
        <v>137</v>
      </c>
      <c r="G11" s="39" t="s">
        <v>163</v>
      </c>
      <c r="H11" s="39" t="s">
        <v>138</v>
      </c>
    </row>
    <row r="12" spans="1:9" ht="54" customHeight="1" x14ac:dyDescent="0.25">
      <c r="A12" s="37"/>
      <c r="B12" s="42"/>
      <c r="C12" s="42"/>
      <c r="D12" s="42"/>
      <c r="E12" s="42"/>
      <c r="F12" s="42"/>
      <c r="G12" s="42"/>
      <c r="H12" s="42"/>
    </row>
    <row r="13" spans="1:9" ht="47.25" customHeight="1" x14ac:dyDescent="0.25">
      <c r="A13" s="38"/>
      <c r="B13" s="41"/>
      <c r="C13" s="41"/>
      <c r="D13" s="41"/>
      <c r="E13" s="41"/>
      <c r="F13" s="41"/>
      <c r="G13" s="41"/>
      <c r="H13" s="41"/>
    </row>
    <row r="14" spans="1:9" ht="79.900000000000006" customHeight="1" x14ac:dyDescent="0.25">
      <c r="A14" s="30"/>
      <c r="B14" s="40"/>
      <c r="C14" s="40"/>
      <c r="E14" s="40"/>
      <c r="F14" s="40"/>
      <c r="G14" s="40"/>
      <c r="H14" s="40"/>
    </row>
    <row r="15" spans="1:9" ht="79.900000000000006" customHeight="1" x14ac:dyDescent="0.25">
      <c r="A15" s="3"/>
      <c r="B15" s="3"/>
      <c r="C15" s="3"/>
      <c r="D15" s="3"/>
      <c r="E15" s="3"/>
      <c r="F15" s="3"/>
      <c r="G15" s="3"/>
      <c r="H15" s="3"/>
    </row>
    <row r="16" spans="1:9" ht="79.900000000000006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79.900000000000006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79.900000000000006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79.900000000000006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79.900000000000006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79.900000000000006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79.900000000000006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79.900000000000006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79.900000000000006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79.900000000000006" customHeight="1" x14ac:dyDescent="0.25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="145" zoomScaleNormal="145" workbookViewId="0">
      <selection activeCell="C5" sqref="C5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8" t="s">
        <v>49</v>
      </c>
      <c r="B1" s="27"/>
      <c r="C1" s="27"/>
      <c r="D1" s="27"/>
      <c r="E1" s="27"/>
      <c r="F1" s="27"/>
    </row>
    <row r="2" spans="1:6" x14ac:dyDescent="0.25">
      <c r="A2" s="26" t="s">
        <v>50</v>
      </c>
      <c r="B2" s="27"/>
      <c r="C2" s="27"/>
      <c r="D2" s="27"/>
      <c r="E2" s="27"/>
      <c r="F2" s="27"/>
    </row>
    <row r="3" spans="1:6" ht="40.15" customHeight="1" x14ac:dyDescent="0.2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</row>
    <row r="4" spans="1:6" ht="195" x14ac:dyDescent="0.25">
      <c r="A4" s="33" t="s">
        <v>47</v>
      </c>
      <c r="B4" s="32" t="s">
        <v>73</v>
      </c>
      <c r="C4" s="32" t="s">
        <v>121</v>
      </c>
      <c r="D4" s="32" t="s">
        <v>146</v>
      </c>
      <c r="E4" s="32" t="s">
        <v>147</v>
      </c>
      <c r="F4" s="32" t="s">
        <v>148</v>
      </c>
    </row>
    <row r="5" spans="1:6" ht="210" x14ac:dyDescent="0.25">
      <c r="A5" s="33" t="s">
        <v>109</v>
      </c>
      <c r="B5" s="32" t="s">
        <v>57</v>
      </c>
      <c r="C5" s="32" t="s">
        <v>149</v>
      </c>
      <c r="D5" s="32" t="s">
        <v>150</v>
      </c>
      <c r="E5" s="32" t="s">
        <v>151</v>
      </c>
      <c r="F5" s="32" t="s">
        <v>152</v>
      </c>
    </row>
    <row r="6" spans="1:6" ht="60" customHeight="1" x14ac:dyDescent="0.25">
      <c r="A6" s="3"/>
      <c r="B6" s="3"/>
      <c r="C6" s="3"/>
      <c r="D6" s="3"/>
      <c r="E6" s="3"/>
      <c r="F6" s="3"/>
    </row>
    <row r="7" spans="1:6" ht="60" customHeight="1" x14ac:dyDescent="0.25">
      <c r="A7" s="3"/>
      <c r="B7" s="3"/>
      <c r="C7" s="3"/>
      <c r="D7" s="3"/>
      <c r="E7" s="3"/>
      <c r="F7" s="3"/>
    </row>
    <row r="8" spans="1:6" ht="60" customHeight="1" x14ac:dyDescent="0.25">
      <c r="A8" s="3"/>
      <c r="B8" s="3"/>
      <c r="C8" s="3"/>
      <c r="D8" s="3"/>
      <c r="E8" s="3"/>
      <c r="F8" s="3"/>
    </row>
    <row r="9" spans="1:6" ht="60" customHeight="1" x14ac:dyDescent="0.25">
      <c r="A9" s="3"/>
      <c r="B9" s="3"/>
      <c r="C9" s="3"/>
      <c r="D9" s="3"/>
      <c r="E9" s="3"/>
      <c r="F9" s="3"/>
    </row>
    <row r="10" spans="1:6" ht="60" customHeight="1" x14ac:dyDescent="0.25">
      <c r="A10" s="3"/>
      <c r="B10" s="3"/>
      <c r="C10" s="3"/>
      <c r="D10" s="3"/>
      <c r="E10" s="3"/>
      <c r="F10" s="3"/>
    </row>
    <row r="11" spans="1:6" ht="60" customHeight="1" x14ac:dyDescent="0.25">
      <c r="A11" s="3"/>
      <c r="B11" s="3"/>
      <c r="C11" s="3"/>
      <c r="D11" s="3"/>
      <c r="E11" s="3"/>
      <c r="F11" s="3"/>
    </row>
    <row r="12" spans="1:6" ht="60" customHeight="1" x14ac:dyDescent="0.25">
      <c r="A12" s="3"/>
      <c r="B12" s="3"/>
      <c r="C12" s="3"/>
      <c r="D12" s="3"/>
      <c r="E12" s="3"/>
      <c r="F12" s="3"/>
    </row>
    <row r="13" spans="1:6" ht="60" customHeight="1" x14ac:dyDescent="0.25">
      <c r="A13" s="3"/>
      <c r="B13" s="3"/>
      <c r="C13" s="3"/>
      <c r="D13" s="3"/>
      <c r="E13" s="3"/>
      <c r="F13" s="3"/>
    </row>
    <row r="14" spans="1:6" ht="60" customHeight="1" x14ac:dyDescent="0.25">
      <c r="A14" s="3"/>
      <c r="B14" s="3"/>
      <c r="C14" s="3"/>
      <c r="D14" s="3"/>
      <c r="E14" s="3"/>
      <c r="F14" s="3"/>
    </row>
    <row r="15" spans="1:6" ht="60" customHeight="1" x14ac:dyDescent="0.25">
      <c r="A15" s="3"/>
      <c r="B15" s="3"/>
      <c r="C15" s="3"/>
      <c r="D15" s="3"/>
      <c r="E15" s="3"/>
      <c r="F15" s="3"/>
    </row>
    <row r="16" spans="1:6" ht="60" customHeight="1" x14ac:dyDescent="0.25">
      <c r="A16" s="3"/>
      <c r="B16" s="3"/>
      <c r="C16" s="3"/>
      <c r="D16" s="3"/>
      <c r="E16" s="3"/>
      <c r="F16" s="3"/>
    </row>
    <row r="17" spans="1:6" ht="60" customHeight="1" x14ac:dyDescent="0.25">
      <c r="A17" s="3"/>
      <c r="B17" s="3"/>
      <c r="C17" s="3"/>
      <c r="D17" s="3"/>
      <c r="E17" s="3"/>
      <c r="F17" s="3"/>
    </row>
    <row r="18" spans="1:6" ht="60" customHeight="1" x14ac:dyDescent="0.25">
      <c r="A18" s="3"/>
      <c r="B18" s="3"/>
      <c r="C18" s="3"/>
      <c r="D18" s="3"/>
      <c r="E18" s="3"/>
      <c r="F18" s="3"/>
    </row>
    <row r="19" spans="1:6" ht="60" customHeight="1" x14ac:dyDescent="0.25">
      <c r="A19" s="3"/>
      <c r="B19" s="3"/>
      <c r="C19" s="3"/>
      <c r="D19" s="3"/>
      <c r="E19" s="3"/>
      <c r="F19" s="3"/>
    </row>
    <row r="20" spans="1:6" ht="60" customHeight="1" x14ac:dyDescent="0.25">
      <c r="A20" s="3"/>
      <c r="B20" s="3"/>
      <c r="C20" s="3"/>
      <c r="D20" s="3"/>
      <c r="E20" s="3"/>
      <c r="F20" s="3"/>
    </row>
    <row r="21" spans="1:6" ht="60" customHeight="1" x14ac:dyDescent="0.25">
      <c r="A21" s="3"/>
      <c r="B21" s="3"/>
      <c r="C21" s="3"/>
      <c r="D21" s="3"/>
      <c r="E21" s="3"/>
      <c r="F21" s="3"/>
    </row>
    <row r="22" spans="1:6" ht="60" customHeight="1" x14ac:dyDescent="0.25">
      <c r="A22" s="3"/>
      <c r="B22" s="3"/>
      <c r="C22" s="3"/>
      <c r="D22" s="3"/>
      <c r="E22" s="3"/>
      <c r="F22" s="3"/>
    </row>
    <row r="23" spans="1:6" ht="60" customHeight="1" x14ac:dyDescent="0.25">
      <c r="A23" s="3"/>
      <c r="B23" s="3"/>
      <c r="C23" s="3"/>
      <c r="D23" s="3"/>
      <c r="E23" s="3"/>
      <c r="F23" s="3"/>
    </row>
    <row r="24" spans="1:6" ht="60" customHeight="1" x14ac:dyDescent="0.25">
      <c r="A24" s="3"/>
      <c r="B24" s="3"/>
      <c r="C24" s="3"/>
      <c r="D24" s="3"/>
      <c r="E24" s="3"/>
      <c r="F24" s="3"/>
    </row>
    <row r="30" spans="1:6" ht="18.75" x14ac:dyDescent="0.3">
      <c r="A30" s="1" t="s">
        <v>58</v>
      </c>
    </row>
    <row r="31" spans="1:6" x14ac:dyDescent="0.25">
      <c r="A31" s="4" t="s">
        <v>59</v>
      </c>
      <c r="B31" s="4" t="s">
        <v>60</v>
      </c>
      <c r="C31" s="4" t="s">
        <v>61</v>
      </c>
    </row>
    <row r="32" spans="1:6" ht="30" x14ac:dyDescent="0.25">
      <c r="A32" s="3" t="s">
        <v>57</v>
      </c>
      <c r="B32" s="3" t="s">
        <v>62</v>
      </c>
      <c r="C32" s="3" t="s">
        <v>63</v>
      </c>
    </row>
    <row r="33" spans="1:3" ht="30" x14ac:dyDescent="0.25">
      <c r="A33" s="3" t="s">
        <v>64</v>
      </c>
      <c r="B33" s="3" t="s">
        <v>65</v>
      </c>
      <c r="C33" s="3" t="s">
        <v>66</v>
      </c>
    </row>
    <row r="34" spans="1:3" ht="30" x14ac:dyDescent="0.25">
      <c r="A34" s="3" t="s">
        <v>67</v>
      </c>
      <c r="B34" s="3" t="s">
        <v>68</v>
      </c>
      <c r="C34" s="3" t="s">
        <v>69</v>
      </c>
    </row>
    <row r="35" spans="1:3" ht="30" x14ac:dyDescent="0.25">
      <c r="A35" s="3" t="s">
        <v>70</v>
      </c>
      <c r="B35" s="3" t="s">
        <v>71</v>
      </c>
      <c r="C35" s="3" t="s">
        <v>72</v>
      </c>
    </row>
    <row r="36" spans="1:3" ht="45" x14ac:dyDescent="0.25">
      <c r="A36" s="3" t="s">
        <v>73</v>
      </c>
      <c r="B36" s="3" t="s">
        <v>74</v>
      </c>
      <c r="C36" s="3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G11" sqref="G11"/>
    </sheetView>
  </sheetViews>
  <sheetFormatPr defaultColWidth="8.7109375" defaultRowHeight="15" x14ac:dyDescent="0.25"/>
  <cols>
    <col min="1" max="1" width="8" style="5" customWidth="1"/>
    <col min="2" max="2" width="60" style="5" customWidth="1"/>
    <col min="3" max="3" width="10" style="5" customWidth="1"/>
    <col min="4" max="4" width="30" style="5" customWidth="1"/>
    <col min="5" max="16384" width="8.7109375" style="5"/>
  </cols>
  <sheetData>
    <row r="1" spans="1:4" x14ac:dyDescent="0.25">
      <c r="A1" s="25" t="s">
        <v>76</v>
      </c>
      <c r="B1" s="24"/>
      <c r="C1" s="24"/>
      <c r="D1" s="24"/>
    </row>
    <row r="2" spans="1:4" x14ac:dyDescent="0.25">
      <c r="A2" s="29" t="s">
        <v>77</v>
      </c>
      <c r="B2" s="24"/>
      <c r="C2" s="24"/>
      <c r="D2" s="24"/>
    </row>
    <row r="4" spans="1:4" ht="18.75" x14ac:dyDescent="0.3">
      <c r="A4" s="8" t="s">
        <v>78</v>
      </c>
    </row>
    <row r="5" spans="1:4" x14ac:dyDescent="0.25">
      <c r="A5" s="6" t="s">
        <v>79</v>
      </c>
      <c r="B5" s="15" t="s">
        <v>80</v>
      </c>
      <c r="C5" s="6" t="s">
        <v>81</v>
      </c>
      <c r="D5" s="15" t="s">
        <v>82</v>
      </c>
    </row>
    <row r="6" spans="1:4" x14ac:dyDescent="0.25">
      <c r="A6" s="16" t="s">
        <v>83</v>
      </c>
      <c r="B6" s="17" t="s">
        <v>84</v>
      </c>
      <c r="C6" s="16" t="s">
        <v>85</v>
      </c>
      <c r="D6" s="17"/>
    </row>
    <row r="7" spans="1:4" x14ac:dyDescent="0.25">
      <c r="A7" s="16" t="s">
        <v>86</v>
      </c>
      <c r="B7" s="17" t="s">
        <v>87</v>
      </c>
      <c r="C7" s="16" t="s">
        <v>85</v>
      </c>
      <c r="D7" s="17"/>
    </row>
    <row r="8" spans="1:4" x14ac:dyDescent="0.25">
      <c r="A8" s="16" t="s">
        <v>88</v>
      </c>
      <c r="B8" s="17" t="s">
        <v>89</v>
      </c>
      <c r="C8" s="16" t="s">
        <v>85</v>
      </c>
      <c r="D8" s="17"/>
    </row>
    <row r="9" spans="1:4" x14ac:dyDescent="0.25">
      <c r="A9" s="16" t="s">
        <v>90</v>
      </c>
      <c r="B9" s="17" t="s">
        <v>91</v>
      </c>
      <c r="C9" s="16" t="s">
        <v>85</v>
      </c>
      <c r="D9" s="17"/>
    </row>
    <row r="10" spans="1:4" x14ac:dyDescent="0.25">
      <c r="A10" s="16" t="s">
        <v>92</v>
      </c>
      <c r="B10" s="17" t="s">
        <v>93</v>
      </c>
      <c r="C10" s="16" t="s">
        <v>85</v>
      </c>
      <c r="D10" s="17"/>
    </row>
    <row r="12" spans="1:4" ht="18.75" x14ac:dyDescent="0.3">
      <c r="A12" s="8" t="s">
        <v>94</v>
      </c>
    </row>
    <row r="13" spans="1:4" x14ac:dyDescent="0.25">
      <c r="A13" s="6" t="s">
        <v>79</v>
      </c>
      <c r="B13" s="15" t="s">
        <v>80</v>
      </c>
      <c r="C13" s="6" t="s">
        <v>81</v>
      </c>
      <c r="D13" s="15" t="s">
        <v>95</v>
      </c>
    </row>
    <row r="14" spans="1:4" x14ac:dyDescent="0.25">
      <c r="A14" s="16" t="s">
        <v>83</v>
      </c>
      <c r="B14" s="17" t="s">
        <v>96</v>
      </c>
      <c r="C14" s="16" t="s">
        <v>85</v>
      </c>
      <c r="D14" s="17"/>
    </row>
    <row r="15" spans="1:4" x14ac:dyDescent="0.25">
      <c r="A15" s="16" t="s">
        <v>86</v>
      </c>
      <c r="B15" s="17" t="s">
        <v>97</v>
      </c>
      <c r="C15" s="16" t="s">
        <v>85</v>
      </c>
      <c r="D15" s="17"/>
    </row>
    <row r="16" spans="1:4" x14ac:dyDescent="0.25">
      <c r="A16" s="16" t="s">
        <v>88</v>
      </c>
      <c r="B16" s="17" t="s">
        <v>98</v>
      </c>
      <c r="C16" s="16" t="s">
        <v>85</v>
      </c>
      <c r="D16" s="17"/>
    </row>
    <row r="17" spans="1:4" x14ac:dyDescent="0.25">
      <c r="A17" s="16" t="s">
        <v>90</v>
      </c>
      <c r="B17" s="17" t="s">
        <v>99</v>
      </c>
      <c r="C17" s="16" t="s">
        <v>85</v>
      </c>
      <c r="D17" s="17"/>
    </row>
    <row r="18" spans="1:4" x14ac:dyDescent="0.25">
      <c r="A18" s="16" t="s">
        <v>92</v>
      </c>
      <c r="B18" s="17" t="s">
        <v>100</v>
      </c>
      <c r="C18" s="16" t="s">
        <v>85</v>
      </c>
      <c r="D18" s="17"/>
    </row>
    <row r="20" spans="1:4" ht="15.75" x14ac:dyDescent="0.25">
      <c r="A20" s="18" t="s">
        <v>101</v>
      </c>
    </row>
    <row r="21" spans="1:4" x14ac:dyDescent="0.25">
      <c r="A21" s="19" t="s">
        <v>102</v>
      </c>
    </row>
    <row r="22" spans="1:4" x14ac:dyDescent="0.25">
      <c r="A22" s="19" t="s">
        <v>103</v>
      </c>
    </row>
    <row r="25" spans="1:4" ht="18.75" x14ac:dyDescent="0.3">
      <c r="A25" s="8" t="s">
        <v>104</v>
      </c>
    </row>
    <row r="26" spans="1:4" x14ac:dyDescent="0.25">
      <c r="A26" s="20" t="s">
        <v>105</v>
      </c>
    </row>
    <row r="27" spans="1:4" ht="57" x14ac:dyDescent="0.25">
      <c r="A27" s="21" t="s">
        <v>35</v>
      </c>
      <c r="B27" s="22" t="s">
        <v>106</v>
      </c>
      <c r="C27" s="22" t="s">
        <v>107</v>
      </c>
      <c r="D27" s="22" t="s">
        <v>108</v>
      </c>
    </row>
    <row r="28" spans="1:4" x14ac:dyDescent="0.25">
      <c r="A28" s="14" t="s">
        <v>43</v>
      </c>
      <c r="B28" s="7"/>
      <c r="C28" s="7"/>
      <c r="D28" s="7"/>
    </row>
    <row r="29" spans="1:4" x14ac:dyDescent="0.25">
      <c r="A29" s="14" t="s">
        <v>45</v>
      </c>
      <c r="B29" s="7"/>
      <c r="C29" s="7"/>
      <c r="D29" s="7"/>
    </row>
    <row r="30" spans="1:4" x14ac:dyDescent="0.25">
      <c r="A30" s="14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Khương Nguyễn Phú</cp:lastModifiedBy>
  <dcterms:created xsi:type="dcterms:W3CDTF">2026-05-07T22:28:42Z</dcterms:created>
  <dcterms:modified xsi:type="dcterms:W3CDTF">2026-10-18T16:32:11Z</dcterms:modified>
</cp:coreProperties>
</file>