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Khuong\Desktop\FPTU\DBI202\"/>
    </mc:Choice>
  </mc:AlternateContent>
  <xr:revisionPtr revIDLastSave="0" documentId="13_ncr:1_{60463A0C-A786-45B4-9D83-8299C2A4CBD9}" xr6:coauthVersionLast="47" xr6:coauthVersionMax="47" xr10:uidLastSave="{00000000-0000-0000-0000-000000000000}"/>
  <bookViews>
    <workbookView xWindow="32730" yWindow="0" windowWidth="35055" windowHeight="20985" activeTab="2" xr2:uid="{00000000-000D-0000-FFFF-FFFF00000000}"/>
  </bookViews>
  <sheets>
    <sheet name="1. Metadata &amp; Summary" sheetId="1" r:id="rId1"/>
    <sheet name="2. Detailed Audit Log" sheetId="2" r:id="rId2"/>
    <sheet name="3. Hallucination Detection" sheetId="3" r:id="rId3"/>
    <sheet name="4. Self-Assessment Checklis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1" l="1"/>
</calcChain>
</file>

<file path=xl/sharedStrings.xml><?xml version="1.0" encoding="utf-8"?>
<sst xmlns="http://schemas.openxmlformats.org/spreadsheetml/2006/main" count="197" uniqueCount="158">
  <si>
    <t>AI AUDIT LOG - METADATA &amp; SUMMARY</t>
  </si>
  <si>
    <t>STUDENT INFORMATION</t>
  </si>
  <si>
    <t>Student Name:</t>
  </si>
  <si>
    <t>Student ID:</t>
  </si>
  <si>
    <t>Course:</t>
  </si>
  <si>
    <t>Assignment:</t>
  </si>
  <si>
    <t>AI USAGE SUMMARY</t>
  </si>
  <si>
    <t>Total Prompts Used (all AI tools):</t>
  </si>
  <si>
    <t>Core Prompts Logged:</t>
  </si>
  <si>
    <t>Selection Ratio:</t>
  </si>
  <si>
    <t>Should be 10-20%</t>
  </si>
  <si>
    <t>Hallucination Detected:</t>
  </si>
  <si>
    <t>AI TOOLS USED</t>
  </si>
  <si>
    <t>AI Tool</t>
  </si>
  <si>
    <t>Purpose</t>
  </si>
  <si>
    <t>Frequency</t>
  </si>
  <si>
    <t>Main Value</t>
  </si>
  <si>
    <t>ChatGPT</t>
  </si>
  <si>
    <t>High</t>
  </si>
  <si>
    <t>Medium</t>
  </si>
  <si>
    <t>GitHub Copilot</t>
  </si>
  <si>
    <t>CORE PROMPTS DISTRIBUTION BY DTC COMPONENT</t>
  </si>
  <si>
    <t>DTC Component</t>
  </si>
  <si>
    <t>Number of Prompts</t>
  </si>
  <si>
    <t>Required (Min)</t>
  </si>
  <si>
    <t>Decomposition</t>
  </si>
  <si>
    <t>≥ 1</t>
  </si>
  <si>
    <t>Pattern Recognition</t>
  </si>
  <si>
    <t>Abstraction</t>
  </si>
  <si>
    <t>Algorithms</t>
  </si>
  <si>
    <t>DETAILED AI AUDIT LOG</t>
  </si>
  <si>
    <t>INSTRUCTIONS: Chỉ ghi CORE PROMPTS (Decision/Problem-Solving/Verification). Mỗi entry phải trả lời đầy đủ 4 câu hỏi trong Human Delta.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</si>
  <si>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</si>
  <si>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</si>
  <si>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</si>
  <si>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</si>
  <si>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</si>
  <si>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</si>
  <si>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</si>
  <si>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</si>
  <si>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001</t>
  </si>
  <si>
    <t>DECISION</t>
  </si>
  <si>
    <t>002</t>
  </si>
  <si>
    <t>PROBLEM-SOLVING</t>
  </si>
  <si>
    <t>003</t>
  </si>
  <si>
    <t>VERIFICATION</t>
  </si>
  <si>
    <t>HALLUCINATION DETECTION LOG (BẮT BUỘC)</t>
  </si>
  <si>
    <t>MỖI PROJECT PHẢI PHÁT HIỆN ÍT NHẤT: Lab (≥1), Assignment (≥2), Project (≥3) cases hallucination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</si>
  <si>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</si>
  <si>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</si>
  <si>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</si>
  <si>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</si>
  <si>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</si>
  <si>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</si>
  <si>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>Fabrication</t>
  </si>
  <si>
    <t>HALLUCINATION TYPES REFERENCE:</t>
  </si>
  <si>
    <t>Type</t>
  </si>
  <si>
    <t>Definition</t>
  </si>
  <si>
    <t>Example</t>
  </si>
  <si>
    <t>AI tạo ra thông tin không tồn tại</t>
  </si>
  <si>
    <t>Fake papers, fake APIs, fake data</t>
  </si>
  <si>
    <t>Oversimplification</t>
  </si>
  <si>
    <t>AI bỏ qua edge cases, exceptions</t>
  </si>
  <si>
    <t>Code không handle array rỗng</t>
  </si>
  <si>
    <t>Logic Error</t>
  </si>
  <si>
    <t>AI đưa kết luận sai về 'best practice'</t>
  </si>
  <si>
    <t>'XGBoost always best' → Sai</t>
  </si>
  <si>
    <t>Outdated Info</t>
  </si>
  <si>
    <t>AI dùng thông tin cũ, không còn đúng</t>
  </si>
  <si>
    <t>Old API syntax, deprecated methods</t>
  </si>
  <si>
    <t>Context Misunderstanding</t>
  </si>
  <si>
    <t>AI không hiểu đúng bối cảnh</t>
  </si>
  <si>
    <t>Không biết business constraints</t>
  </si>
  <si>
    <t>SELF-ASSESSMENT CHECKLIST (Trước khi nộp)</t>
  </si>
  <si>
    <t>Kiểm tra kỹ trước khi nộp. MỖI ENTRY phải pass ≥4/5 tiêu chí dưới đây.</t>
  </si>
  <si>
    <t>A. KIỂM TRA CHẤT LƯỢNG MỖI ENTRY (Pass ≥4/5)</t>
  </si>
  <si>
    <t>#</t>
  </si>
  <si>
    <t>Tiêu chí</t>
  </si>
  <si>
    <t>Pass?</t>
  </si>
  <si>
    <t>Note</t>
  </si>
  <si>
    <t>1</t>
  </si>
  <si>
    <t>Prompt này ảnh hưởng đến quyết định quan trọng trong project?</t>
  </si>
  <si>
    <t>☐</t>
  </si>
  <si>
    <t>2</t>
  </si>
  <si>
    <t>Nếu không có prompt này, project có thay đổi về architecture/design?</t>
  </si>
  <si>
    <t>3</t>
  </si>
  <si>
    <t>Tôi có thể giải thích lý do chọn/không chọn gợi ý của AI?</t>
  </si>
  <si>
    <t>4</t>
  </si>
  <si>
    <t>Có minh chứng cụ thể (code, metrics, comparison)?</t>
  </si>
  <si>
    <t>5</t>
  </si>
  <si>
    <t>Prompt này phản ánh tư duy phản biện, không chỉ copy AI?</t>
  </si>
  <si>
    <t>B. KIỂM TRA TỔNG THỂ LOG</t>
  </si>
  <si>
    <t>Current Value</t>
  </si>
  <si>
    <t>Số lượng entries nằm trong range (min-max)?</t>
  </si>
  <si>
    <t>Mỗi DTC component có ít nhất 1 core prompt?</t>
  </si>
  <si>
    <t>Đã phát hiện ≥ số lượng hallucination yêu cầu?</t>
  </si>
  <si>
    <t>Mỗi entry đều có Human Delta đầy đủ (4 câu hỏi)?</t>
  </si>
  <si>
    <t>Có evidence cho ≥70% entries?</t>
  </si>
  <si>
    <t>⚠️ LƯU Ý QUAN TRỌNG:</t>
  </si>
  <si>
    <t>Nếu entry KHÔNG pass ≥4/5 tiêu chí → LOẠI BỎ, không ghi vào Log</t>
  </si>
  <si>
    <t>Nếu FAIL ≥2 tiêu chí tổng thể → AI Reflection = 0 điểm (mất 30%)</t>
  </si>
  <si>
    <t>C. CHUẨN BỊ CHO ORAL VIVAS (Q&amp;A)</t>
  </si>
  <si>
    <t>Giảng viên sẽ hỏi ngẫu nhiên về 3-5 entries. Tự hỏi bản thân:</t>
  </si>
  <si>
    <t>Tôi có thể giải thích tại sao chọn approach này?</t>
  </si>
  <si>
    <t>Tôi có nhớ AI response?</t>
  </si>
  <si>
    <t>Tôi có evidence?</t>
  </si>
  <si>
    <t>Nguyễn Phú Khương</t>
  </si>
  <si>
    <t>SE203056</t>
  </si>
  <si>
    <t>DBI202</t>
  </si>
  <si>
    <t>We need to decide on the overall Data Model architecture for the "Household Cleaning Robot Sales &amp; Maintenance Management System" project.</t>
  </si>
  <si>
    <t>Suggest a data model architecture for a Household Cleaning Robot System that handles both sales transactions and IoT robot error logs.</t>
  </si>
  <si>
    <t>AI suggests splitting the system into two parts: using a Relational DB for the Sales/Warranty section and using NoSQL (Document-oriented) for the IoT robot error log management section for flexibility.</t>
  </si>
  <si>
    <t>Critical Thinking: The AI's fragmentation advice would disintegrate data, making it difficult to connect customer data and device failure history.
Contextualization: The project required a tightly integrated system architecture to predict automated maintenance based on user data.
Creative Synthesis: Instead of using NoSQL as the AI ​​suggested, I decided to use ONLY the Relational Data Model. I standardized the failure logs into a DeviceLogs table (including LogID, RobotID, Time, and Data).
Decision Ownership: I chose a purely Relational architecture (as mentioned in section 3 of the Word file) because it allows direct JOIN commands between device logs and customer records, optimizing operations on a single platform.</t>
  </si>
  <si>
    <t>The research on NoSQL models should be presented in a scientific and comparable manner in the report.</t>
  </si>
  <si>
    <t xml:space="preserve">Explain the different types of NoSQL data models and their characteristics for a database research report ? </t>
  </si>
  <si>
    <t>The AI ​​returned a very long, plain text article (wall of text) that haphazardly listed concepts, examples, and pros and cons of 4-5 different NoSQL databases without any structure.</t>
  </si>
  <si>
    <t>Critical Thinking: The AI's lengthy text presentation makes it difficult for readers to identify the differences (patterns) between various NoSQL databases.
Contextualization: Academic reports (Studies of Data Models) require conciseness and easy comparison of technical criteria.
Creative Synthesis: I identified common information patterns and grouped them into a table with four core criteria columns: Structure &amp; Constraints, Data Manipulation, Advantages/Limitations &amp; Applications.
Decision Ownership: I decided to transform all the AI ​​text into a table (see section 2.3) with four main types (Document, Key-Value, Graph, Column-family) for a more professional and clear report.</t>
  </si>
  <si>
    <t>We need to summarize the abstract properties (Constraints) of the Relational Data Model.</t>
  </si>
  <si>
    <t>List all the core constraints of the Relational Data Model in database systems.</t>
  </si>
  <si>
    <t>AI lists constraints including: Domain constraints, Key constraints, and adds "Inheritance constraints" and "Polymorphism".</t>
  </si>
  <si>
    <t>Critical Thinking: Hallucinations Defected! (Logic Error / Fabrication). AI confused abstract concepts of Object-Oriented Programming (OOP) with Relational Database Systems (RDBMS). The Relational Model has NO Inheritance.
Contextualization: Lab 1 report requires precise definitions according to Database Systems theory (DBI202), without mixing knowledge from other subjects.
Creative Synthesis: I completely removed all misleading information about AI's OOP. Review the syllabus yourself.
Decision Ownership: In conclusion, section 2.1 only recorded the three most accurate constraints: Domain constraints, Key constraints (Primary Key), and Entity/Referential integrity (Foreign Key).</t>
  </si>
  <si>
    <t>004</t>
  </si>
  <si>
    <t>Research</t>
  </si>
  <si>
    <t>Evaluate the capabilities of Relational Database in processing IoT data (robot monitoring data) for the Conclusion section.</t>
  </si>
  <si>
    <t>Can traditional Relational Data Models effectively manage and store IoT device monitoring data (like cleaning robot logs), or is NoSQL mandatory?</t>
  </si>
  <si>
    <t>AI is making a firm assertion (Oversimplification) that Relational Databases CANNOT manage IoT data because they are rigid, and NoSQL (like Cassandra) is the ONLY way forward.</t>
  </si>
  <si>
    <t>Critical Thinking: Hallucinations detected! (Outdated Info/Oversimplification). The AI ​​provides outdated information. Modern RDBMSs support structural normalization for excellent log storage.
Contextualization: For a medium-sized team project, setting up a NoSQL cluster for several thousand robots is over-engineering and costly to maintain.
Creative Synthesis: I reject the AI's conclusion. Designing the DeviceLogs table with fixed columns allows for smooth storage of IoT data within a relational model.
Decision Ownership: The conclusion (Section 4) in the Word file states: "The relational model is fully capable of effectively managing the flow of device monitoring data (IoT)." The AI's advice is incorrect given the project's context.</t>
  </si>
  <si>
    <t>Fabrication / Logic Error</t>
  </si>
  <si>
    <t>Relational Data Model includes "Inheritance constraints" and "Polymorphism" as core abstract properties.</t>
  </si>
  <si>
    <t>Relational Data Model does NOT support inheritance or polymorphism natively; these are concepts from Object-Oriented Programming (OOP).</t>
  </si>
  <si>
    <t>Cross-checked with DBI202 textbook, relational database theory lectures, and academic materials on data modeling.</t>
  </si>
  <si>
    <t>Removed all fabricated OOP concepts. Kept and detailed only 3 valid core constraints: Domain, Key, and Referential Integrity in Section 2.1 on Report.</t>
  </si>
  <si>
    <t>critical thinking support</t>
  </si>
  <si>
    <t>Gemini</t>
  </si>
  <si>
    <t>Design Report</t>
  </si>
  <si>
    <t>Support with report design</t>
  </si>
  <si>
    <t>Lab2-Entity Analysis and Functional Dependencies</t>
  </si>
  <si>
    <t>005</t>
  </si>
  <si>
    <t>The "Household Cleaning Robot Sales &amp; Maintenance" system needs to be broken down into more manageable entity groups.</t>
  </si>
  <si>
    <t>I am designing a database for a "Household Cleaning Robot Sales &amp; Maintenance System" for a university lab. Break down this system into core entity groups. Focus only on core operations, avoid HR or complex accounting.</t>
  </si>
  <si>
    <t>AI recommends 6 modules: User, Product, Inventory, Sales, Maintenance, Marketing &amp; CRM.</t>
  </si>
  <si>
    <t>Critical Thinking: Six modules are too broad for Lab 2's scope. Marketing is unnecessary.
Contextualization: The project focuses solely on robot sales and maintenance; IoT integration is needed.
Creative Synthesis: Combine Product &amp; Inventory, remove Marketing, and add DeviceLog (IoT).
Decision: Finalize four groups: User, Product/Inventory, Sales/Transaction, and Maintenance/IoT.</t>
  </si>
  <si>
    <t>006</t>
  </si>
  <si>
    <t>Confused about defining Functional Dependencies for a RobotUnit entity when both SerialNumber and RobotID are available.</t>
  </si>
  <si>
    <t>In my database, the entity RobotUnit has attributes: RobotID, ModelID, SerialNumber, Status. Both RobotID and SerialNumber are unique for each physical robot. What should the functional dependencies be, and which one is the better Primary Key?</t>
  </si>
  <si>
    <t>The AI ​​writes FDs for both and recommends choosing SerialNumber as the Primary Key (PK) because it is the Natural Key available from the manufacturer.</t>
  </si>
  <si>
    <t>Critical Thinking: Using strings (SerialNumber) as the PK will slow down the speed of joining tables later (with OrderDetail, Maintenance). 
Contextualization: In a real-world system, auto-incrementing IDs (Surrogate keys) are easier to manage. 
Creative Synthesis: Keep SerialNumber as the Candidate Key to ensure uniqueness, but use RobotID as the PK. 
Decision: Write FD RobotID -&gt; SerialNumber and vice versa, but lock RobotID as the PK.</t>
  </si>
  <si>
    <t>007</t>
  </si>
  <si>
    <t>We need to determine the logic (algorithm) for finding the Candidate Key for the DeviceLog table based on FDs. There is suspicion that the AI ​​fabricated the references.</t>
  </si>
  <si>
    <t>For the entity DeviceLog, my FDs are: LogID -&gt; RobotID, LogTime, ErrorCode. And {RobotID, LogTime} -&gt; LogID, ErrorCode. Are these FDs correct for 3NF? Cite a published academic paper about IoT Telemetry Database Normalization to support this.</t>
  </si>
  <si>
    <t>AI confirms FDs are correct and cites the article: "IoT Telemetry Database Normalization Strategies" by Smith &amp; Johnson (2023).</t>
  </si>
  <si>
    <t>Critical Thinking: Hallucinations detected! The 3NF explanation is correct, but the paper sounds very fake. 
Contextualization: The instructor requested a thorough reference check. I searched Google Scholar but this paper doesn't exist. 
Creative Synthesis: Ignore the AI's virtual references and prove it myself using Armstrong's axioms. 
Decision: Keep the original design of the two Candidate Keys (LogID and {RobotID, LogTime}) based on knowledge from the standard textbook; do not use AI references.</t>
  </si>
  <si>
    <t>There exists a paper "IoT Telemetry Database Normalization Strategies" by Smith &amp; Johnson (2023) that supports this DB structure.</t>
  </si>
  <si>
    <t>There is no article with that title; the author was also invented by AI to satisfy the question (hallucinate).</t>
  </si>
  <si>
    <t>Copy the article title and author and search on Google Scholar and ResearchGate. The results returned are 0.</t>
  </si>
  <si>
    <t>Ignore the AI's citations. Use the theory (Armstrong's axioms) from the DBI202 textbook to draw your own conclusions for the DeviceLog Candidate Keys section.</t>
  </si>
  <si>
    <t>Using parallel methods for theoretical Entity Analysis and Functional Dependencies</t>
  </si>
  <si>
    <t>Double check Entity Analysis and Functional Dependencies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</si>
</sst>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4" x14ac:knownFonts="1">
    <font>
      <sz val="11"/>
      <color theme="1"/>
      <name val="Calibri"/>
      <family val="2"/>
      <scheme val="minor"/>
    </font>
    <font>
      <b/>
      <sz val="16"/>
      <color rgb="FF2E75B6"/>
      <name val="Calibri"/>
    </font>
    <font>
      <b/>
      <sz val="14"/>
      <color rgb="FF2E75B6"/>
      <name val="Calibri"/>
    </font>
    <font>
      <b/>
      <sz val="11"/>
      <name val="Calibri"/>
    </font>
    <font>
      <i/>
      <sz val="9"/>
      <color rgb="FF666666"/>
      <name val="Calibri"/>
    </font>
    <font>
      <b/>
      <sz val="11"/>
      <color rgb="FFFFFFFF"/>
      <name val="Calibri"/>
    </font>
    <font>
      <i/>
      <sz val="10"/>
      <color rgb="FF666666"/>
      <name val="Calibri"/>
    </font>
    <font>
      <b/>
      <sz val="16"/>
      <color rgb="FFFF0000"/>
      <name val="Calibri"/>
    </font>
    <font>
      <b/>
      <i/>
      <sz val="10"/>
      <color rgb="FFFF0000"/>
      <name val="Calibri"/>
    </font>
    <font>
      <sz val="10"/>
      <name val="Calibri"/>
    </font>
    <font>
      <b/>
      <sz val="12"/>
      <color rgb="FFFF0000"/>
      <name val="Calibri"/>
    </font>
    <font>
      <sz val="11"/>
      <color rgb="FFFF0000"/>
      <name val="Calibri"/>
    </font>
    <font>
      <i/>
      <sz val="10"/>
      <name val="Calibri"/>
    </font>
    <font>
      <sz val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164" fontId="0" fillId="0" borderId="0" xfId="0" applyNumberFormat="1"/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top" wrapText="1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3" fillId="4" borderId="1" xfId="0" applyFont="1" applyFill="1" applyBorder="1" applyAlignment="1">
      <alignment horizontal="center" vertical="center" wrapText="1"/>
    </xf>
    <xf numFmtId="0" fontId="0" fillId="0" borderId="1" xfId="0" quotePrefix="1" applyBorder="1" applyAlignment="1">
      <alignment horizontal="left" vertical="top" wrapText="1"/>
    </xf>
    <xf numFmtId="0" fontId="0" fillId="0" borderId="0" xfId="0" applyAlignment="1">
      <alignment vertical="top"/>
    </xf>
    <xf numFmtId="0" fontId="13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left" vertical="top" wrapText="1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6" fillId="0" borderId="0" xfId="0" applyFont="1" applyAlignment="1">
      <alignment horizontal="left" vertical="top" wrapText="1"/>
    </xf>
    <xf numFmtId="0" fontId="8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8164</xdr:colOff>
      <xdr:row>2</xdr:row>
      <xdr:rowOff>487136</xdr:rowOff>
    </xdr:from>
    <xdr:to>
      <xdr:col>7</xdr:col>
      <xdr:colOff>5126852</xdr:colOff>
      <xdr:row>3</xdr:row>
      <xdr:rowOff>2801714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2B98C66-20C9-C1CD-D175-FEC93DD784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9399" y="1047430"/>
          <a:ext cx="5124130" cy="2821564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54429</xdr:rowOff>
    </xdr:from>
    <xdr:to>
      <xdr:col>7</xdr:col>
      <xdr:colOff>5704918</xdr:colOff>
      <xdr:row>4</xdr:row>
      <xdr:rowOff>2992379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F492935-EA94-A612-B31E-579FD18CA2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022036" y="3891643"/>
          <a:ext cx="5711716" cy="2934109"/>
        </a:xfrm>
        <a:prstGeom prst="rect">
          <a:avLst/>
        </a:prstGeom>
      </xdr:spPr>
    </xdr:pic>
    <xdr:clientData/>
  </xdr:twoCellAnchor>
  <xdr:twoCellAnchor editAs="oneCell">
    <xdr:from>
      <xdr:col>7</xdr:col>
      <xdr:colOff>5946912</xdr:colOff>
      <xdr:row>4</xdr:row>
      <xdr:rowOff>38501</xdr:rowOff>
    </xdr:from>
    <xdr:to>
      <xdr:col>8</xdr:col>
      <xdr:colOff>649</xdr:colOff>
      <xdr:row>4</xdr:row>
      <xdr:rowOff>4287616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5AD3007-D159-6631-A16B-7898B8CCBA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968147" y="4756177"/>
          <a:ext cx="3317405" cy="4251836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7</xdr:col>
      <xdr:colOff>7010400</xdr:colOff>
      <xdr:row>5</xdr:row>
      <xdr:rowOff>2657634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FCC907C5-F78F-8545-CE8C-8BF21AEC27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020675" y="6829425"/>
          <a:ext cx="7010400" cy="2663952"/>
        </a:xfrm>
        <a:prstGeom prst="rect">
          <a:avLst/>
        </a:prstGeom>
      </xdr:spPr>
    </xdr:pic>
    <xdr:clientData/>
  </xdr:twoCellAnchor>
  <xdr:twoCellAnchor editAs="oneCell">
    <xdr:from>
      <xdr:col>7</xdr:col>
      <xdr:colOff>1154206</xdr:colOff>
      <xdr:row>5</xdr:row>
      <xdr:rowOff>3148853</xdr:rowOff>
    </xdr:from>
    <xdr:to>
      <xdr:col>7</xdr:col>
      <xdr:colOff>6287861</xdr:colOff>
      <xdr:row>6</xdr:row>
      <xdr:rowOff>4500104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A3D3AE2-53B5-8A81-3456-67AAB743C9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175441" y="12673853"/>
          <a:ext cx="5133655" cy="4521155"/>
        </a:xfrm>
        <a:prstGeom prst="rect">
          <a:avLst/>
        </a:prstGeom>
      </xdr:spPr>
    </xdr:pic>
    <xdr:clientData/>
  </xdr:twoCellAnchor>
  <xdr:twoCellAnchor editAs="oneCell">
    <xdr:from>
      <xdr:col>7</xdr:col>
      <xdr:colOff>8283</xdr:colOff>
      <xdr:row>6</xdr:row>
      <xdr:rowOff>4621696</xdr:rowOff>
    </xdr:from>
    <xdr:to>
      <xdr:col>7</xdr:col>
      <xdr:colOff>4806352</xdr:colOff>
      <xdr:row>7</xdr:row>
      <xdr:rowOff>2824370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4D97380-ED7C-6A73-61F9-6C83BB34B8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283109" y="17318935"/>
          <a:ext cx="4798069" cy="2832652"/>
        </a:xfrm>
        <a:prstGeom prst="rect">
          <a:avLst/>
        </a:prstGeom>
      </xdr:spPr>
    </xdr:pic>
    <xdr:clientData/>
  </xdr:twoCellAnchor>
  <xdr:twoCellAnchor editAs="oneCell">
    <xdr:from>
      <xdr:col>7</xdr:col>
      <xdr:colOff>4885207</xdr:colOff>
      <xdr:row>7</xdr:row>
      <xdr:rowOff>82825</xdr:rowOff>
    </xdr:from>
    <xdr:to>
      <xdr:col>10</xdr:col>
      <xdr:colOff>293627</xdr:colOff>
      <xdr:row>7</xdr:row>
      <xdr:rowOff>2769886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E99D686-B395-6851-32C0-672DD85FD4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7160033" y="17410042"/>
          <a:ext cx="5637442" cy="2687061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5805736</xdr:colOff>
      <xdr:row>8</xdr:row>
      <xdr:rowOff>1914525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47731DE-45D2-19F5-6936-24A67C5712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2268200" y="21336000"/>
          <a:ext cx="5805736" cy="1914525"/>
        </a:xfrm>
        <a:prstGeom prst="rect">
          <a:avLst/>
        </a:prstGeom>
      </xdr:spPr>
    </xdr:pic>
    <xdr:clientData/>
  </xdr:twoCellAnchor>
  <xdr:twoCellAnchor editAs="oneCell">
    <xdr:from>
      <xdr:col>7</xdr:col>
      <xdr:colOff>2066924</xdr:colOff>
      <xdr:row>8</xdr:row>
      <xdr:rowOff>1232610</xdr:rowOff>
    </xdr:from>
    <xdr:to>
      <xdr:col>8</xdr:col>
      <xdr:colOff>10736</xdr:colOff>
      <xdr:row>9</xdr:row>
      <xdr:rowOff>420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39E47535-30AC-F994-1430-F2355DD32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4335124" y="22568610"/>
          <a:ext cx="6944937" cy="2406360"/>
        </a:xfrm>
        <a:prstGeom prst="rect">
          <a:avLst/>
        </a:prstGeom>
      </xdr:spPr>
    </xdr:pic>
    <xdr:clientData/>
  </xdr:twoCellAnchor>
  <xdr:twoCellAnchor editAs="oneCell">
    <xdr:from>
      <xdr:col>7</xdr:col>
      <xdr:colOff>1</xdr:colOff>
      <xdr:row>9</xdr:row>
      <xdr:rowOff>0</xdr:rowOff>
    </xdr:from>
    <xdr:to>
      <xdr:col>7</xdr:col>
      <xdr:colOff>5581651</xdr:colOff>
      <xdr:row>9</xdr:row>
      <xdr:rowOff>2304545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54277114-FC82-31CA-6AED-E313B2E8C2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2268201" y="24974550"/>
          <a:ext cx="5581650" cy="2304545"/>
        </a:xfrm>
        <a:prstGeom prst="rect">
          <a:avLst/>
        </a:prstGeom>
      </xdr:spPr>
    </xdr:pic>
    <xdr:clientData/>
  </xdr:twoCellAnchor>
  <xdr:twoCellAnchor editAs="oneCell">
    <xdr:from>
      <xdr:col>7</xdr:col>
      <xdr:colOff>5472545</xdr:colOff>
      <xdr:row>9</xdr:row>
      <xdr:rowOff>1</xdr:rowOff>
    </xdr:from>
    <xdr:to>
      <xdr:col>12</xdr:col>
      <xdr:colOff>242454</xdr:colOff>
      <xdr:row>10</xdr:row>
      <xdr:rowOff>33170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D633409-9F25-C13F-40D7-0ADEDC8945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7751136" y="24990137"/>
          <a:ext cx="6199909" cy="29079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zoomScale="160" zoomScaleNormal="160" workbookViewId="0">
      <selection activeCell="D17" sqref="D17"/>
    </sheetView>
  </sheetViews>
  <sheetFormatPr defaultRowHeight="15" x14ac:dyDescent="0.25"/>
  <cols>
    <col min="1" max="1" width="25" customWidth="1"/>
    <col min="2" max="2" width="40" customWidth="1"/>
    <col min="3" max="3" width="23.140625" bestFit="1" customWidth="1"/>
    <col min="4" max="4" width="30" customWidth="1"/>
    <col min="5" max="6" width="20" customWidth="1"/>
  </cols>
  <sheetData>
    <row r="1" spans="1:6" x14ac:dyDescent="0.25">
      <c r="A1" s="22" t="s">
        <v>0</v>
      </c>
      <c r="B1" s="23"/>
      <c r="C1" s="23"/>
      <c r="D1" s="23"/>
      <c r="E1" s="23"/>
      <c r="F1" s="23"/>
    </row>
    <row r="3" spans="1:6" ht="18.75" x14ac:dyDescent="0.3">
      <c r="A3" s="1" t="s">
        <v>1</v>
      </c>
    </row>
    <row r="4" spans="1:6" x14ac:dyDescent="0.25">
      <c r="A4" s="2" t="s">
        <v>2</v>
      </c>
      <c r="C4" t="s">
        <v>106</v>
      </c>
    </row>
    <row r="5" spans="1:6" x14ac:dyDescent="0.25">
      <c r="A5" s="2" t="s">
        <v>3</v>
      </c>
      <c r="C5" t="s">
        <v>107</v>
      </c>
    </row>
    <row r="6" spans="1:6" x14ac:dyDescent="0.25">
      <c r="A6" s="2" t="s">
        <v>4</v>
      </c>
      <c r="C6" t="s">
        <v>108</v>
      </c>
    </row>
    <row r="7" spans="1:6" x14ac:dyDescent="0.25">
      <c r="A7" s="2" t="s">
        <v>5</v>
      </c>
      <c r="C7" t="s">
        <v>136</v>
      </c>
    </row>
    <row r="9" spans="1:6" ht="18.75" x14ac:dyDescent="0.3">
      <c r="A9" s="1" t="s">
        <v>6</v>
      </c>
    </row>
    <row r="10" spans="1:6" x14ac:dyDescent="0.25">
      <c r="A10" s="2" t="s">
        <v>7</v>
      </c>
      <c r="C10">
        <v>36</v>
      </c>
    </row>
    <row r="11" spans="1:6" x14ac:dyDescent="0.25">
      <c r="A11" s="2" t="s">
        <v>8</v>
      </c>
      <c r="C11" s="3">
        <v>7</v>
      </c>
    </row>
    <row r="12" spans="1:6" x14ac:dyDescent="0.25">
      <c r="A12" s="2" t="s">
        <v>9</v>
      </c>
      <c r="C12" s="4">
        <f>C11/C10</f>
        <v>0.19444444444444445</v>
      </c>
      <c r="E12" s="5" t="s">
        <v>10</v>
      </c>
    </row>
    <row r="13" spans="1:6" x14ac:dyDescent="0.25">
      <c r="A13" s="2" t="s">
        <v>11</v>
      </c>
      <c r="C13" s="3">
        <v>2</v>
      </c>
    </row>
    <row r="15" spans="1:6" ht="18.75" x14ac:dyDescent="0.3">
      <c r="A15" s="1" t="s">
        <v>12</v>
      </c>
    </row>
    <row r="16" spans="1:6" x14ac:dyDescent="0.25">
      <c r="A16" s="6" t="s">
        <v>13</v>
      </c>
      <c r="B16" s="6" t="s">
        <v>14</v>
      </c>
      <c r="C16" s="6" t="s">
        <v>15</v>
      </c>
      <c r="D16" s="6" t="s">
        <v>16</v>
      </c>
    </row>
    <row r="17" spans="1:4" ht="30" x14ac:dyDescent="0.25">
      <c r="A17" s="7" t="s">
        <v>17</v>
      </c>
      <c r="B17" s="7" t="s">
        <v>157</v>
      </c>
      <c r="C17" s="7" t="s">
        <v>18</v>
      </c>
      <c r="D17" s="7" t="s">
        <v>132</v>
      </c>
    </row>
    <row r="18" spans="1:4" ht="45" x14ac:dyDescent="0.25">
      <c r="A18" s="7" t="s">
        <v>20</v>
      </c>
      <c r="B18" s="7" t="s">
        <v>156</v>
      </c>
      <c r="C18" s="7" t="s">
        <v>18</v>
      </c>
      <c r="D18" s="7" t="s">
        <v>132</v>
      </c>
    </row>
    <row r="19" spans="1:4" x14ac:dyDescent="0.25">
      <c r="A19" s="7" t="s">
        <v>133</v>
      </c>
      <c r="B19" s="7" t="s">
        <v>134</v>
      </c>
      <c r="C19" s="7" t="s">
        <v>19</v>
      </c>
      <c r="D19" s="21" t="s">
        <v>135</v>
      </c>
    </row>
    <row r="21" spans="1:4" ht="18.75" x14ac:dyDescent="0.3">
      <c r="A21" s="1" t="s">
        <v>21</v>
      </c>
    </row>
    <row r="22" spans="1:4" x14ac:dyDescent="0.25">
      <c r="A22" s="6" t="s">
        <v>22</v>
      </c>
      <c r="B22" s="6" t="s">
        <v>23</v>
      </c>
      <c r="C22" s="6" t="s">
        <v>24</v>
      </c>
    </row>
    <row r="23" spans="1:4" x14ac:dyDescent="0.25">
      <c r="A23" s="7" t="s">
        <v>25</v>
      </c>
      <c r="B23" s="8">
        <v>2</v>
      </c>
      <c r="C23" s="9" t="s">
        <v>26</v>
      </c>
    </row>
    <row r="24" spans="1:4" x14ac:dyDescent="0.25">
      <c r="A24" s="7" t="s">
        <v>27</v>
      </c>
      <c r="B24" s="8">
        <v>2</v>
      </c>
      <c r="C24" s="9" t="s">
        <v>26</v>
      </c>
    </row>
    <row r="25" spans="1:4" x14ac:dyDescent="0.25">
      <c r="A25" s="7" t="s">
        <v>28</v>
      </c>
      <c r="B25" s="8">
        <v>1</v>
      </c>
      <c r="C25" s="9" t="s">
        <v>26</v>
      </c>
    </row>
    <row r="26" spans="1:4" x14ac:dyDescent="0.25">
      <c r="A26" s="7" t="s">
        <v>29</v>
      </c>
      <c r="B26" s="8">
        <v>2</v>
      </c>
      <c r="C26" s="9" t="s">
        <v>26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6"/>
  <sheetViews>
    <sheetView topLeftCell="A5" zoomScale="85" zoomScaleNormal="85" workbookViewId="0">
      <selection activeCell="D11" sqref="D11"/>
    </sheetView>
  </sheetViews>
  <sheetFormatPr defaultRowHeight="15" x14ac:dyDescent="0.25"/>
  <cols>
    <col min="1" max="1" width="8" customWidth="1"/>
    <col min="2" max="3" width="18" customWidth="1"/>
    <col min="4" max="4" width="25" customWidth="1"/>
    <col min="5" max="5" width="30" customWidth="1"/>
    <col min="6" max="6" width="35" customWidth="1"/>
    <col min="7" max="7" width="50" customWidth="1"/>
    <col min="8" max="8" width="135" customWidth="1"/>
  </cols>
  <sheetData>
    <row r="1" spans="1:8" x14ac:dyDescent="0.25">
      <c r="A1" s="22" t="s">
        <v>30</v>
      </c>
      <c r="B1" s="23"/>
      <c r="C1" s="23"/>
      <c r="D1" s="23"/>
      <c r="E1" s="23"/>
      <c r="F1" s="23"/>
      <c r="G1" s="23"/>
      <c r="H1" s="23"/>
    </row>
    <row r="2" spans="1:8" ht="30" customHeight="1" x14ac:dyDescent="0.25">
      <c r="A2" s="24" t="s">
        <v>31</v>
      </c>
      <c r="B2" s="23"/>
      <c r="C2" s="23"/>
      <c r="D2" s="23"/>
      <c r="E2" s="23"/>
      <c r="F2" s="23"/>
      <c r="G2" s="23"/>
      <c r="H2" s="23"/>
    </row>
    <row r="3" spans="1:8" ht="39.950000000000003" customHeight="1" x14ac:dyDescent="0.25">
      <c r="A3" s="6" t="s">
        <v>32</v>
      </c>
      <c r="B3" s="6" t="s">
        <v>33</v>
      </c>
      <c r="C3" s="6" t="s">
        <v>34</v>
      </c>
      <c r="D3" s="6" t="s">
        <v>35</v>
      </c>
      <c r="E3" s="6" t="s">
        <v>36</v>
      </c>
      <c r="F3" s="6" t="s">
        <v>37</v>
      </c>
      <c r="G3" s="6" t="s">
        <v>38</v>
      </c>
      <c r="H3" s="6" t="s">
        <v>39</v>
      </c>
    </row>
    <row r="4" spans="1:8" ht="287.64999999999998" customHeight="1" x14ac:dyDescent="0.25">
      <c r="A4" s="7" t="s">
        <v>40</v>
      </c>
      <c r="B4" s="7" t="s">
        <v>41</v>
      </c>
      <c r="C4" s="7" t="s">
        <v>25</v>
      </c>
      <c r="D4" s="7" t="s">
        <v>109</v>
      </c>
      <c r="E4" s="7" t="s">
        <v>110</v>
      </c>
      <c r="F4" s="7" t="s">
        <v>111</v>
      </c>
      <c r="G4" s="7" t="s">
        <v>112</v>
      </c>
      <c r="H4" s="7"/>
    </row>
    <row r="5" spans="1:8" ht="378.95" customHeight="1" x14ac:dyDescent="0.25">
      <c r="A5" s="7" t="s">
        <v>42</v>
      </c>
      <c r="B5" s="7" t="s">
        <v>43</v>
      </c>
      <c r="C5" s="7" t="s">
        <v>27</v>
      </c>
      <c r="D5" s="7" t="s">
        <v>113</v>
      </c>
      <c r="E5" s="7" t="s">
        <v>114</v>
      </c>
      <c r="F5" s="7" t="s">
        <v>115</v>
      </c>
      <c r="G5" s="7" t="s">
        <v>116</v>
      </c>
      <c r="H5" s="7"/>
    </row>
    <row r="6" spans="1:8" ht="249.4" customHeight="1" x14ac:dyDescent="0.25">
      <c r="A6" s="7" t="s">
        <v>44</v>
      </c>
      <c r="B6" s="7" t="s">
        <v>45</v>
      </c>
      <c r="C6" s="7" t="s">
        <v>28</v>
      </c>
      <c r="D6" s="7" t="s">
        <v>117</v>
      </c>
      <c r="E6" s="7" t="s">
        <v>118</v>
      </c>
      <c r="F6" s="7" t="s">
        <v>119</v>
      </c>
      <c r="G6" s="7" t="s">
        <v>120</v>
      </c>
      <c r="H6" s="7"/>
    </row>
    <row r="7" spans="1:8" ht="364.7" customHeight="1" x14ac:dyDescent="0.25">
      <c r="A7" s="18" t="s">
        <v>121</v>
      </c>
      <c r="B7" s="19" t="s">
        <v>45</v>
      </c>
      <c r="C7" s="7" t="s">
        <v>122</v>
      </c>
      <c r="D7" s="7" t="s">
        <v>123</v>
      </c>
      <c r="E7" s="7" t="s">
        <v>124</v>
      </c>
      <c r="F7" s="7" t="s">
        <v>125</v>
      </c>
      <c r="G7" s="7" t="s">
        <v>126</v>
      </c>
      <c r="H7" s="7"/>
    </row>
    <row r="8" spans="1:8" ht="315.75" customHeight="1" x14ac:dyDescent="0.25">
      <c r="A8" s="18" t="s">
        <v>137</v>
      </c>
      <c r="B8" s="7" t="s">
        <v>41</v>
      </c>
      <c r="C8" s="7" t="s">
        <v>25</v>
      </c>
      <c r="D8" s="7" t="s">
        <v>138</v>
      </c>
      <c r="E8" s="7" t="s">
        <v>139</v>
      </c>
      <c r="F8" s="7" t="s">
        <v>140</v>
      </c>
      <c r="G8" s="7" t="s">
        <v>141</v>
      </c>
      <c r="H8" s="7"/>
    </row>
    <row r="9" spans="1:8" ht="286.5" customHeight="1" x14ac:dyDescent="0.25">
      <c r="A9" s="18" t="s">
        <v>142</v>
      </c>
      <c r="B9" s="7" t="s">
        <v>43</v>
      </c>
      <c r="C9" s="7" t="s">
        <v>27</v>
      </c>
      <c r="D9" s="7" t="s">
        <v>143</v>
      </c>
      <c r="E9" s="7" t="s">
        <v>144</v>
      </c>
      <c r="F9" s="7" t="s">
        <v>145</v>
      </c>
      <c r="G9" s="7" t="s">
        <v>146</v>
      </c>
      <c r="H9" s="7"/>
    </row>
    <row r="10" spans="1:8" ht="225.75" customHeight="1" x14ac:dyDescent="0.25">
      <c r="A10" s="18" t="s">
        <v>147</v>
      </c>
      <c r="B10" s="7" t="s">
        <v>45</v>
      </c>
      <c r="C10" s="7" t="s">
        <v>29</v>
      </c>
      <c r="D10" s="7" t="s">
        <v>148</v>
      </c>
      <c r="E10" s="7" t="s">
        <v>149</v>
      </c>
      <c r="F10" s="7" t="s">
        <v>150</v>
      </c>
      <c r="G10" s="7" t="s">
        <v>151</v>
      </c>
      <c r="H10" s="7"/>
    </row>
    <row r="11" spans="1:8" ht="80.099999999999994" customHeight="1" x14ac:dyDescent="0.25">
      <c r="A11" s="7"/>
      <c r="B11" s="7"/>
      <c r="C11" s="7"/>
      <c r="D11" s="7"/>
      <c r="E11" s="7"/>
      <c r="F11" s="7"/>
      <c r="G11" s="7"/>
      <c r="H11" s="7"/>
    </row>
    <row r="12" spans="1:8" ht="80.099999999999994" customHeight="1" x14ac:dyDescent="0.25">
      <c r="A12" s="7"/>
      <c r="B12" s="7"/>
      <c r="C12" s="7"/>
      <c r="D12" s="7"/>
      <c r="E12" s="7"/>
      <c r="F12" s="7"/>
      <c r="G12" s="7"/>
      <c r="H12" s="7"/>
    </row>
    <row r="13" spans="1:8" ht="80.099999999999994" customHeight="1" x14ac:dyDescent="0.25">
      <c r="A13" s="7"/>
      <c r="B13" s="7"/>
      <c r="C13" s="7"/>
      <c r="D13" s="7"/>
      <c r="E13" s="7"/>
      <c r="F13" s="7"/>
      <c r="G13" s="7"/>
      <c r="H13" s="7"/>
    </row>
    <row r="14" spans="1:8" ht="80.099999999999994" customHeight="1" x14ac:dyDescent="0.25">
      <c r="A14" s="7"/>
      <c r="B14" s="7"/>
      <c r="C14" s="7"/>
      <c r="D14" s="7"/>
      <c r="E14" s="7"/>
      <c r="F14" s="7"/>
      <c r="G14" s="7"/>
      <c r="H14" s="7"/>
    </row>
    <row r="15" spans="1:8" ht="80.099999999999994" customHeight="1" x14ac:dyDescent="0.25">
      <c r="A15" s="7"/>
      <c r="B15" s="7"/>
      <c r="C15" s="7"/>
      <c r="D15" s="7"/>
      <c r="E15" s="7"/>
      <c r="F15" s="7"/>
      <c r="G15" s="7"/>
      <c r="H15" s="7"/>
    </row>
    <row r="16" spans="1:8" ht="80.099999999999994" customHeight="1" x14ac:dyDescent="0.25">
      <c r="A16" s="7"/>
      <c r="B16" s="7"/>
      <c r="C16" s="7"/>
      <c r="D16" s="7"/>
      <c r="E16" s="7"/>
      <c r="F16" s="7"/>
      <c r="G16" s="7"/>
      <c r="H16" s="7"/>
    </row>
    <row r="17" spans="1:8" ht="80.099999999999994" customHeight="1" x14ac:dyDescent="0.25">
      <c r="A17" s="7"/>
      <c r="B17" s="7"/>
      <c r="C17" s="7"/>
      <c r="D17" s="7"/>
      <c r="E17" s="7"/>
      <c r="F17" s="7"/>
      <c r="G17" s="7"/>
      <c r="H17" s="7"/>
    </row>
    <row r="18" spans="1:8" ht="80.099999999999994" customHeight="1" x14ac:dyDescent="0.25">
      <c r="A18" s="7"/>
      <c r="B18" s="7"/>
      <c r="C18" s="7"/>
      <c r="D18" s="7"/>
      <c r="E18" s="7"/>
      <c r="F18" s="7"/>
      <c r="G18" s="7"/>
      <c r="H18" s="7"/>
    </row>
    <row r="19" spans="1:8" ht="80.099999999999994" customHeight="1" x14ac:dyDescent="0.25">
      <c r="A19" s="7"/>
      <c r="B19" s="7"/>
      <c r="C19" s="7"/>
      <c r="D19" s="7"/>
      <c r="E19" s="7"/>
      <c r="F19" s="7"/>
      <c r="G19" s="7"/>
      <c r="H19" s="7"/>
    </row>
    <row r="20" spans="1:8" ht="80.099999999999994" customHeight="1" x14ac:dyDescent="0.25">
      <c r="A20" s="7"/>
      <c r="B20" s="7"/>
      <c r="C20" s="7"/>
      <c r="D20" s="7"/>
      <c r="E20" s="7"/>
      <c r="F20" s="7"/>
      <c r="G20" s="7"/>
      <c r="H20" s="7"/>
    </row>
    <row r="21" spans="1:8" ht="80.099999999999994" customHeight="1" x14ac:dyDescent="0.25">
      <c r="A21" s="7"/>
      <c r="B21" s="7"/>
      <c r="C21" s="7"/>
      <c r="D21" s="7"/>
      <c r="E21" s="7"/>
      <c r="F21" s="7"/>
      <c r="G21" s="7"/>
      <c r="H21" s="7"/>
    </row>
    <row r="22" spans="1:8" ht="80.099999999999994" customHeight="1" x14ac:dyDescent="0.25">
      <c r="A22" s="7"/>
      <c r="B22" s="7"/>
      <c r="C22" s="7"/>
      <c r="D22" s="7"/>
      <c r="E22" s="7"/>
      <c r="F22" s="7"/>
      <c r="G22" s="7"/>
      <c r="H22" s="7"/>
    </row>
    <row r="23" spans="1:8" ht="80.099999999999994" customHeight="1" x14ac:dyDescent="0.25">
      <c r="A23" s="7"/>
      <c r="B23" s="7"/>
      <c r="C23" s="7"/>
      <c r="D23" s="7"/>
      <c r="E23" s="7"/>
      <c r="F23" s="7"/>
      <c r="G23" s="7"/>
      <c r="H23" s="7"/>
    </row>
    <row r="24" spans="1:8" ht="80.099999999999994" customHeight="1" x14ac:dyDescent="0.25">
      <c r="A24" s="7"/>
      <c r="B24" s="7"/>
      <c r="C24" s="7"/>
      <c r="D24" s="7"/>
      <c r="E24" s="7"/>
      <c r="F24" s="7"/>
      <c r="G24" s="7"/>
      <c r="H24" s="7"/>
    </row>
    <row r="25" spans="1:8" ht="80.099999999999994" customHeight="1" x14ac:dyDescent="0.25">
      <c r="A25" s="7"/>
      <c r="B25" s="7"/>
      <c r="C25" s="7"/>
      <c r="D25" s="7"/>
      <c r="E25" s="7"/>
      <c r="F25" s="7"/>
      <c r="G25" s="7"/>
      <c r="H25" s="7"/>
    </row>
    <row r="26" spans="1:8" ht="80.099999999999994" customHeight="1" x14ac:dyDescent="0.25">
      <c r="A26" s="7"/>
      <c r="B26" s="7"/>
      <c r="C26" s="7"/>
      <c r="D26" s="7"/>
      <c r="E26" s="7"/>
      <c r="F26" s="7"/>
      <c r="G26" s="7"/>
      <c r="H26" s="7"/>
    </row>
  </sheetData>
  <mergeCells count="2">
    <mergeCell ref="A2:H2"/>
    <mergeCell ref="A1:H1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6"/>
  <sheetViews>
    <sheetView tabSelected="1" zoomScale="130" zoomScaleNormal="130" workbookViewId="0">
      <selection activeCell="D9" sqref="D9"/>
    </sheetView>
  </sheetViews>
  <sheetFormatPr defaultRowHeight="15" x14ac:dyDescent="0.25"/>
  <cols>
    <col min="1" max="1" width="12" customWidth="1"/>
    <col min="2" max="2" width="22" customWidth="1"/>
    <col min="3" max="6" width="30" customWidth="1"/>
  </cols>
  <sheetData>
    <row r="1" spans="1:6" x14ac:dyDescent="0.25">
      <c r="A1" s="26" t="s">
        <v>46</v>
      </c>
      <c r="B1" s="23"/>
      <c r="C1" s="23"/>
      <c r="D1" s="23"/>
      <c r="E1" s="23"/>
      <c r="F1" s="23"/>
    </row>
    <row r="2" spans="1:6" x14ac:dyDescent="0.25">
      <c r="A2" s="25" t="s">
        <v>47</v>
      </c>
      <c r="B2" s="23"/>
      <c r="C2" s="23"/>
      <c r="D2" s="23"/>
      <c r="E2" s="23"/>
      <c r="F2" s="23"/>
    </row>
    <row r="3" spans="1:6" ht="39.950000000000003" customHeight="1" x14ac:dyDescent="0.25">
      <c r="A3" s="6" t="s">
        <v>48</v>
      </c>
      <c r="B3" s="6" t="s">
        <v>49</v>
      </c>
      <c r="C3" s="6" t="s">
        <v>50</v>
      </c>
      <c r="D3" s="6" t="s">
        <v>51</v>
      </c>
      <c r="E3" s="6" t="s">
        <v>52</v>
      </c>
      <c r="F3" s="6" t="s">
        <v>53</v>
      </c>
    </row>
    <row r="4" spans="1:6" ht="78.95" customHeight="1" x14ac:dyDescent="0.25">
      <c r="A4" s="18" t="s">
        <v>121</v>
      </c>
      <c r="B4" s="7" t="s">
        <v>127</v>
      </c>
      <c r="C4" s="7" t="s">
        <v>128</v>
      </c>
      <c r="D4" s="7" t="s">
        <v>129</v>
      </c>
      <c r="E4" s="7" t="s">
        <v>130</v>
      </c>
      <c r="F4" s="7" t="s">
        <v>131</v>
      </c>
    </row>
    <row r="5" spans="1:6" ht="90" x14ac:dyDescent="0.25">
      <c r="A5" s="18" t="s">
        <v>147</v>
      </c>
      <c r="B5" s="7" t="s">
        <v>54</v>
      </c>
      <c r="C5" s="7" t="s">
        <v>152</v>
      </c>
      <c r="D5" s="7" t="s">
        <v>153</v>
      </c>
      <c r="E5" s="7" t="s">
        <v>154</v>
      </c>
      <c r="F5" s="7" t="s">
        <v>155</v>
      </c>
    </row>
    <row r="6" spans="1:6" ht="60" customHeight="1" x14ac:dyDescent="0.25">
      <c r="A6" s="7"/>
      <c r="B6" s="7"/>
      <c r="C6" s="7"/>
      <c r="D6" s="7"/>
      <c r="E6" s="7"/>
      <c r="F6" s="7"/>
    </row>
    <row r="7" spans="1:6" ht="60" customHeight="1" x14ac:dyDescent="0.25">
      <c r="A7" s="7"/>
      <c r="B7" s="7"/>
      <c r="C7" s="7"/>
      <c r="D7" s="7"/>
      <c r="E7" s="7"/>
      <c r="F7" s="7"/>
    </row>
    <row r="8" spans="1:6" ht="60" customHeight="1" x14ac:dyDescent="0.25">
      <c r="A8" s="7"/>
      <c r="B8" s="7"/>
      <c r="C8" s="7"/>
      <c r="D8" s="7"/>
      <c r="E8" s="7"/>
      <c r="F8" s="7"/>
    </row>
    <row r="9" spans="1:6" ht="60" customHeight="1" x14ac:dyDescent="0.25">
      <c r="A9" s="7"/>
      <c r="B9" s="7"/>
      <c r="C9" s="7"/>
      <c r="D9" s="7"/>
      <c r="E9" s="7"/>
      <c r="F9" s="7"/>
    </row>
    <row r="10" spans="1:6" ht="60" customHeight="1" x14ac:dyDescent="0.25">
      <c r="A10" s="7"/>
      <c r="B10" s="7"/>
      <c r="C10" s="7"/>
      <c r="D10" s="7"/>
      <c r="E10" s="7"/>
      <c r="F10" s="7"/>
    </row>
    <row r="11" spans="1:6" ht="60" customHeight="1" x14ac:dyDescent="0.25">
      <c r="A11" s="7"/>
      <c r="B11" s="7"/>
      <c r="C11" s="7"/>
      <c r="D11" s="7"/>
      <c r="E11" s="7"/>
      <c r="F11" s="7"/>
    </row>
    <row r="12" spans="1:6" ht="60" customHeight="1" x14ac:dyDescent="0.25">
      <c r="A12" s="7"/>
      <c r="B12" s="7"/>
      <c r="C12" s="7"/>
      <c r="D12" s="7"/>
      <c r="E12" s="7"/>
      <c r="F12" s="7"/>
    </row>
    <row r="13" spans="1:6" ht="60" customHeight="1" x14ac:dyDescent="0.25">
      <c r="A13" s="7"/>
      <c r="B13" s="7"/>
      <c r="C13" s="7"/>
      <c r="D13" s="7"/>
      <c r="E13" s="7"/>
      <c r="F13" s="7"/>
    </row>
    <row r="14" spans="1:6" ht="60" customHeight="1" x14ac:dyDescent="0.25">
      <c r="A14" s="7"/>
      <c r="B14" s="7"/>
      <c r="C14" s="7"/>
      <c r="D14" s="7"/>
      <c r="E14" s="7"/>
      <c r="F14" s="7"/>
    </row>
    <row r="15" spans="1:6" ht="60" customHeight="1" x14ac:dyDescent="0.25">
      <c r="A15" s="7"/>
      <c r="B15" s="7"/>
      <c r="C15" s="7"/>
      <c r="D15" s="7"/>
      <c r="E15" s="7"/>
      <c r="F15" s="7"/>
    </row>
    <row r="16" spans="1:6" ht="60" customHeight="1" x14ac:dyDescent="0.25">
      <c r="A16" s="7"/>
      <c r="B16" s="7"/>
      <c r="C16" s="7"/>
      <c r="D16" s="7"/>
      <c r="E16" s="7"/>
      <c r="F16" s="7"/>
    </row>
    <row r="17" spans="1:6" ht="60" customHeight="1" x14ac:dyDescent="0.25">
      <c r="A17" s="7"/>
      <c r="B17" s="7"/>
      <c r="C17" s="7"/>
      <c r="D17" s="7"/>
      <c r="E17" s="7"/>
      <c r="F17" s="7"/>
    </row>
    <row r="18" spans="1:6" ht="60" customHeight="1" x14ac:dyDescent="0.25">
      <c r="A18" s="7"/>
      <c r="B18" s="7"/>
      <c r="C18" s="7"/>
      <c r="D18" s="7"/>
      <c r="E18" s="7"/>
      <c r="F18" s="7"/>
    </row>
    <row r="19" spans="1:6" ht="60" customHeight="1" x14ac:dyDescent="0.25">
      <c r="A19" s="7"/>
      <c r="B19" s="7"/>
      <c r="C19" s="7"/>
      <c r="D19" s="7"/>
      <c r="E19" s="7"/>
      <c r="F19" s="7"/>
    </row>
    <row r="20" spans="1:6" ht="60" customHeight="1" x14ac:dyDescent="0.25">
      <c r="A20" s="7"/>
      <c r="B20" s="7"/>
      <c r="C20" s="7"/>
      <c r="D20" s="7"/>
      <c r="E20" s="7"/>
      <c r="F20" s="7"/>
    </row>
    <row r="21" spans="1:6" ht="60" customHeight="1" x14ac:dyDescent="0.25">
      <c r="A21" s="7"/>
      <c r="B21" s="7"/>
      <c r="C21" s="7"/>
      <c r="D21" s="7"/>
      <c r="E21" s="7"/>
      <c r="F21" s="7"/>
    </row>
    <row r="22" spans="1:6" ht="60" customHeight="1" x14ac:dyDescent="0.25">
      <c r="A22" s="7"/>
      <c r="B22" s="7"/>
      <c r="C22" s="7"/>
      <c r="D22" s="7"/>
      <c r="E22" s="7"/>
      <c r="F22" s="7"/>
    </row>
    <row r="23" spans="1:6" ht="60" customHeight="1" x14ac:dyDescent="0.25">
      <c r="A23" s="7"/>
      <c r="B23" s="7"/>
      <c r="C23" s="7"/>
      <c r="D23" s="7"/>
      <c r="E23" s="7"/>
      <c r="F23" s="7"/>
    </row>
    <row r="24" spans="1:6" ht="60" customHeight="1" x14ac:dyDescent="0.25">
      <c r="A24" s="7"/>
      <c r="B24" s="7"/>
      <c r="C24" s="7"/>
      <c r="D24" s="7"/>
      <c r="E24" s="7"/>
      <c r="F24" s="7"/>
    </row>
    <row r="30" spans="1:6" ht="18.75" x14ac:dyDescent="0.3">
      <c r="A30" s="1" t="s">
        <v>55</v>
      </c>
    </row>
    <row r="31" spans="1:6" x14ac:dyDescent="0.25">
      <c r="A31" s="10" t="s">
        <v>56</v>
      </c>
      <c r="B31" s="10" t="s">
        <v>57</v>
      </c>
      <c r="C31" s="10" t="s">
        <v>58</v>
      </c>
    </row>
    <row r="32" spans="1:6" ht="30" x14ac:dyDescent="0.25">
      <c r="A32" s="7" t="s">
        <v>54</v>
      </c>
      <c r="B32" s="7" t="s">
        <v>59</v>
      </c>
      <c r="C32" s="7" t="s">
        <v>60</v>
      </c>
    </row>
    <row r="33" spans="1:3" ht="30" x14ac:dyDescent="0.25">
      <c r="A33" s="7" t="s">
        <v>61</v>
      </c>
      <c r="B33" s="7" t="s">
        <v>62</v>
      </c>
      <c r="C33" s="7" t="s">
        <v>63</v>
      </c>
    </row>
    <row r="34" spans="1:3" ht="30" x14ac:dyDescent="0.25">
      <c r="A34" s="7" t="s">
        <v>64</v>
      </c>
      <c r="B34" s="7" t="s">
        <v>65</v>
      </c>
      <c r="C34" s="7" t="s">
        <v>66</v>
      </c>
    </row>
    <row r="35" spans="1:3" ht="30" x14ac:dyDescent="0.25">
      <c r="A35" s="7" t="s">
        <v>67</v>
      </c>
      <c r="B35" s="7" t="s">
        <v>68</v>
      </c>
      <c r="C35" s="7" t="s">
        <v>69</v>
      </c>
    </row>
    <row r="36" spans="1:3" ht="45" x14ac:dyDescent="0.25">
      <c r="A36" s="7" t="s">
        <v>70</v>
      </c>
      <c r="B36" s="7" t="s">
        <v>71</v>
      </c>
      <c r="C36" s="7" t="s">
        <v>72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0"/>
  <sheetViews>
    <sheetView zoomScale="145" zoomScaleNormal="145" workbookViewId="0">
      <selection activeCell="D17" sqref="D17"/>
    </sheetView>
  </sheetViews>
  <sheetFormatPr defaultRowHeight="15" x14ac:dyDescent="0.25"/>
  <cols>
    <col min="1" max="1" width="8" customWidth="1"/>
    <col min="2" max="2" width="60" customWidth="1"/>
    <col min="3" max="3" width="10" customWidth="1"/>
    <col min="4" max="4" width="30" customWidth="1"/>
  </cols>
  <sheetData>
    <row r="1" spans="1:4" x14ac:dyDescent="0.25">
      <c r="A1" s="22" t="s">
        <v>73</v>
      </c>
      <c r="B1" s="23"/>
      <c r="C1" s="23"/>
      <c r="D1" s="23"/>
    </row>
    <row r="2" spans="1:4" x14ac:dyDescent="0.25">
      <c r="A2" s="27" t="s">
        <v>74</v>
      </c>
      <c r="B2" s="23"/>
      <c r="C2" s="23"/>
      <c r="D2" s="23"/>
    </row>
    <row r="4" spans="1:4" ht="18.75" x14ac:dyDescent="0.3">
      <c r="A4" s="1" t="s">
        <v>75</v>
      </c>
    </row>
    <row r="5" spans="1:4" x14ac:dyDescent="0.25">
      <c r="A5" s="6" t="s">
        <v>76</v>
      </c>
      <c r="B5" s="11" t="s">
        <v>77</v>
      </c>
      <c r="C5" s="6" t="s">
        <v>78</v>
      </c>
      <c r="D5" s="11" t="s">
        <v>79</v>
      </c>
    </row>
    <row r="6" spans="1:4" x14ac:dyDescent="0.25">
      <c r="A6" s="12" t="s">
        <v>80</v>
      </c>
      <c r="B6" s="13" t="s">
        <v>81</v>
      </c>
      <c r="C6" s="20" t="s">
        <v>82</v>
      </c>
      <c r="D6" s="13"/>
    </row>
    <row r="7" spans="1:4" x14ac:dyDescent="0.25">
      <c r="A7" s="12" t="s">
        <v>83</v>
      </c>
      <c r="B7" s="13" t="s">
        <v>84</v>
      </c>
      <c r="C7" s="12" t="s">
        <v>82</v>
      </c>
      <c r="D7" s="13"/>
    </row>
    <row r="8" spans="1:4" x14ac:dyDescent="0.25">
      <c r="A8" s="12" t="s">
        <v>85</v>
      </c>
      <c r="B8" s="13" t="s">
        <v>86</v>
      </c>
      <c r="C8" s="12" t="s">
        <v>82</v>
      </c>
      <c r="D8" s="13"/>
    </row>
    <row r="9" spans="1:4" x14ac:dyDescent="0.25">
      <c r="A9" s="12" t="s">
        <v>87</v>
      </c>
      <c r="B9" s="13" t="s">
        <v>88</v>
      </c>
      <c r="C9" s="12" t="s">
        <v>82</v>
      </c>
      <c r="D9" s="13"/>
    </row>
    <row r="10" spans="1:4" x14ac:dyDescent="0.25">
      <c r="A10" s="12" t="s">
        <v>89</v>
      </c>
      <c r="B10" s="13" t="s">
        <v>90</v>
      </c>
      <c r="C10" s="12" t="s">
        <v>82</v>
      </c>
      <c r="D10" s="13"/>
    </row>
    <row r="12" spans="1:4" ht="18.75" x14ac:dyDescent="0.3">
      <c r="A12" s="1" t="s">
        <v>91</v>
      </c>
    </row>
    <row r="13" spans="1:4" x14ac:dyDescent="0.25">
      <c r="A13" s="6" t="s">
        <v>76</v>
      </c>
      <c r="B13" s="11" t="s">
        <v>77</v>
      </c>
      <c r="C13" s="6" t="s">
        <v>78</v>
      </c>
      <c r="D13" s="11" t="s">
        <v>92</v>
      </c>
    </row>
    <row r="14" spans="1:4" x14ac:dyDescent="0.25">
      <c r="A14" s="12" t="s">
        <v>80</v>
      </c>
      <c r="B14" s="13" t="s">
        <v>93</v>
      </c>
      <c r="C14" s="12" t="s">
        <v>82</v>
      </c>
      <c r="D14" s="13"/>
    </row>
    <row r="15" spans="1:4" x14ac:dyDescent="0.25">
      <c r="A15" s="12" t="s">
        <v>83</v>
      </c>
      <c r="B15" s="13" t="s">
        <v>94</v>
      </c>
      <c r="C15" s="12" t="s">
        <v>82</v>
      </c>
      <c r="D15" s="13"/>
    </row>
    <row r="16" spans="1:4" x14ac:dyDescent="0.25">
      <c r="A16" s="12" t="s">
        <v>85</v>
      </c>
      <c r="B16" s="13" t="s">
        <v>95</v>
      </c>
      <c r="C16" s="12" t="s">
        <v>82</v>
      </c>
      <c r="D16" s="13"/>
    </row>
    <row r="17" spans="1:4" x14ac:dyDescent="0.25">
      <c r="A17" s="12" t="s">
        <v>87</v>
      </c>
      <c r="B17" s="13" t="s">
        <v>96</v>
      </c>
      <c r="C17" s="12" t="s">
        <v>82</v>
      </c>
      <c r="D17" s="13"/>
    </row>
    <row r="18" spans="1:4" x14ac:dyDescent="0.25">
      <c r="A18" s="12" t="s">
        <v>89</v>
      </c>
      <c r="B18" s="13" t="s">
        <v>97</v>
      </c>
      <c r="C18" s="12" t="s">
        <v>82</v>
      </c>
      <c r="D18" s="13"/>
    </row>
    <row r="20" spans="1:4" ht="15.75" x14ac:dyDescent="0.25">
      <c r="A20" s="14" t="s">
        <v>98</v>
      </c>
    </row>
    <row r="21" spans="1:4" x14ac:dyDescent="0.25">
      <c r="A21" s="15" t="s">
        <v>99</v>
      </c>
    </row>
    <row r="22" spans="1:4" x14ac:dyDescent="0.25">
      <c r="A22" s="15" t="s">
        <v>100</v>
      </c>
    </row>
    <row r="25" spans="1:4" ht="18.75" x14ac:dyDescent="0.3">
      <c r="A25" s="1" t="s">
        <v>101</v>
      </c>
    </row>
    <row r="26" spans="1:4" x14ac:dyDescent="0.25">
      <c r="A26" s="16" t="s">
        <v>102</v>
      </c>
    </row>
    <row r="27" spans="1:4" ht="60" x14ac:dyDescent="0.25">
      <c r="A27" s="17" t="s">
        <v>32</v>
      </c>
      <c r="B27" s="10" t="s">
        <v>103</v>
      </c>
      <c r="C27" s="10" t="s">
        <v>104</v>
      </c>
      <c r="D27" s="10" t="s">
        <v>105</v>
      </c>
    </row>
    <row r="28" spans="1:4" x14ac:dyDescent="0.25">
      <c r="A28" s="9" t="s">
        <v>40</v>
      </c>
      <c r="B28" s="7"/>
      <c r="C28" s="7"/>
      <c r="D28" s="7"/>
    </row>
    <row r="29" spans="1:4" x14ac:dyDescent="0.25">
      <c r="A29" s="9" t="s">
        <v>42</v>
      </c>
      <c r="B29" s="7"/>
      <c r="C29" s="7"/>
      <c r="D29" s="7"/>
    </row>
    <row r="30" spans="1:4" x14ac:dyDescent="0.25">
      <c r="A30" s="9" t="s">
        <v>44</v>
      </c>
      <c r="B30" s="7"/>
      <c r="C30" s="7"/>
      <c r="D30" s="7"/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Metadata &amp; Summary</vt:lpstr>
      <vt:lpstr>2. Detailed Audit Log</vt:lpstr>
      <vt:lpstr>3. Hallucination Detection</vt:lpstr>
      <vt:lpstr>4. Self-Assessment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Khương Nguyễn Phú</cp:lastModifiedBy>
  <dcterms:created xsi:type="dcterms:W3CDTF">2026-05-07T22:28:42Z</dcterms:created>
  <dcterms:modified xsi:type="dcterms:W3CDTF">2026-06-05T07:06:39Z</dcterms:modified>
</cp:coreProperties>
</file>